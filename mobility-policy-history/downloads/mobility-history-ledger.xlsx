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a82958b47148df" /></Relationships>
</file>

<file path=xl/workbook.xml><?xml version="1.0" encoding="utf-8"?>
<x:workbook xmlns:x="http://schemas.openxmlformats.org/spreadsheetml/2006/main">
  <x:sheets>
    <x:sheet xmlns:r="http://schemas.openxmlformats.org/officeDocument/2006/relationships" name="年表" sheetId="1" r:id="R07ab9a4667f846ca"/>
    <x:sheet xmlns:r="http://schemas.openxmlformats.org/officeDocument/2006/relationships" name="事例" sheetId="2" r:id="R5f6da43b9327462d"/>
    <x:sheet xmlns:r="http://schemas.openxmlformats.org/officeDocument/2006/relationships" name="政策制度" sheetId="3" r:id="Rda9d13ea8bad437c"/>
    <x:sheet xmlns:r="http://schemas.openxmlformats.org/officeDocument/2006/relationships" name="出典" sheetId="4" r:id="R5b0c0870ad6d484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6">
    <x:font>
      <x:sz val="11"/>
      <x:name val="Carlito"/>
    </x:font>
    <x:font>
      <x:sz val="10"/>
      <x:color rgb="FF243443"/>
      <x:name val="Arial"/>
    </x:font>
    <x:font>
      <x:b/>
      <x:sz val="16"/>
      <x:color rgb="FF223B50"/>
      <x:name val="Arial"/>
    </x:font>
    <x:font>
      <x:sz val="10"/>
      <x:color rgb="FF52616D"/>
      <x:name val="Arial"/>
    </x:font>
    <x:font>
      <x:b/>
      <x:sz val="10"/>
      <x:color rgb="FFFFFFFF"/>
      <x:name val="Arial"/>
    </x:font>
    <x:font>
      <x:b/>
      <x:sz val="10"/>
      <x:color rgb="FF223B50"/>
      <x:name val="Arial"/>
    </x:font>
  </x:fonts>
  <x:fills count="3">
    <x:fill>
      <x:patternFill patternType="none"/>
    </x:fill>
    <x:fill>
      <x:patternFill patternType="gray125"/>
    </x:fill>
    <x:fill>
      <x:patternFill patternType="solid">
        <x:fgColor rgb="FF324F64"/>
      </x:patternFill>
    </x:fill>
  </x:fills>
  <x:borders count="5">
    <x:border>
      <x:left/>
      <x:right/>
      <x:top/>
      <x:bottom/>
      <x:diagonal/>
    </x:border>
    <x:border>
      <x:left/>
      <x:right/>
      <x:top/>
      <x:bottom style="thin">
        <x:color rgb="FF7F99AC"/>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5"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0" fontId="5" fillId="0" borderId="0" xfId="0" applyNumberFormat="1" applyFont="1" applyFill="1" applyBorder="1" applyAlignment="1">
      <x:alignment horizontal="left" vertical="center"/>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center" vertical="top" wrapText="1"/>
    </x:xf>
    <x:xf numFmtId="202" fontId="1" fillId="0" borderId="0" xfId="0" applyNumberFormat="1" applyFont="1" applyFill="1" applyBorder="1" applyAlignment="1">
      <x:alignment vertical="top" wrapText="1"/>
    </x:xf>
    <x:xf numFmtId="202" fontId="1" fillId="0" borderId="0" xfId="0" applyNumberFormat="1" applyFont="1" applyFill="1" applyBorder="1" applyAlignment="1">
      <x:alignment horizontal="right" vertical="top" wrapText="1"/>
    </x:xf>
  </x:cellXfs>
  <x:cellStyles count="1">
    <x:cellStyle name="Normal" xfId="0"/>
  </x:cellStyles>
  <x:dxfs count="2">
    <x:dxf>
      <x:font>
        <x:color rgb="FF78531D"/>
      </x:font>
      <x:fill>
        <x:patternFill patternType="solid">
          <x:bgColor rgb="FFFFF0D6"/>
        </x:patternFill>
      </x:fill>
    </x:dxf>
    <x:dxf>
      <x:font>
        <x:color rgb="FF78531D"/>
      </x:font>
      <x:fill>
        <x:patternFill patternType="solid">
          <x:bgColor rgb="FFFFF5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2eae671da647a2" /><Relationship Type="http://schemas.openxmlformats.org/officeDocument/2006/relationships/theme" Target="/xl/theme/theme1.xml" Id="R3dc4bd116f3e425e" /><Relationship Type="http://schemas.openxmlformats.org/officeDocument/2006/relationships/sharedStrings" Target="/xl/sharedStrings.xml" Id="R140d3c493f3d4321" /><Relationship Type="http://schemas.openxmlformats.org/officeDocument/2006/relationships/worksheet" Target="/xl/worksheets/sheet1.xml" Id="R07ab9a4667f846ca" /><Relationship Type="http://schemas.openxmlformats.org/officeDocument/2006/relationships/worksheet" Target="/xl/worksheets/sheet2.xml" Id="R5f6da43b9327462d" /><Relationship Type="http://schemas.openxmlformats.org/officeDocument/2006/relationships/worksheet" Target="/xl/worksheets/sheet3.xml" Id="Rda9d13ea8bad437c" /><Relationship Type="http://schemas.openxmlformats.org/officeDocument/2006/relationships/worksheet" Target="/xl/worksheets/sheet4.xml" Id="R5b0c0870ad6d484e" /></Relationships>
</file>

<file path=xl/tables/table1.xml><?xml version="1.0" encoding="utf-8"?>
<x:table xmlns:x="http://schemas.openxmlformats.org/spreadsheetml/2006/main" id="1" name="TimelineEvents" displayName="TimelineEvents" ref="A7:AB474" headerRowCount="1" totalsRowCount="0" totalsRowShown="0">
  <x:autoFilter ref="A7:AB474"/>
  <x:tableColumns count="28">
    <x:tableColumn id="1" name="年月・期間"/>
    <x:tableColumn id="2" name="日付精度"/>
    <x:tableColumn id="3" name="案件・制度ID"/>
    <x:tableColumn id="4" name="案件・制度名"/>
    <x:tableColumn id="5" name="変化・出来事"/>
    <x:tableColumn id="6" name="状態"/>
    <x:tableColumn id="7" name="区分"/>
    <x:tableColumn id="8" name="所管・関係府省"/>
    <x:tableColumn id="9" name="地域"/>
    <x:tableColumn id="10" name="関連制度ID"/>
    <x:tableColumn id="11" name="代表資料公表日"/>
    <x:tableColumn id="12" name="公表日の原記載"/>
    <x:tableColumn id="13" name="確認日"/>
    <x:tableColumn id="14" name="出典番号"/>
    <x:tableColumn id="15" name="主要根拠URL"/>
    <x:tableColumn id="16" name="注記"/>
    <x:tableColumn id="17" name="イベントID"/>
    <x:tableColumn id="18" name="元案件・記録ID"/>
    <x:tableColumn id="19" name="並替年（範囲始点）"/>
    <x:tableColumn id="20" name="並替月（範囲始点）"/>
    <x:tableColumn id="21" name="日付体系"/>
    <x:tableColumn id="22" name="確定事象日"/>
    <x:tableColumn id="23" name="出典ID"/>
    <x:tableColumn id="24" name="その他の根拠URL"/>
    <x:tableColumn id="25" name="初期並替順"/>
    <x:tableColumn id="26" name="統合前イベントID"/>
    <x:tableColumn id="27" name="出典別公表日・原記載"/>
    <x:tableColumn id="28" name="統合前の日付・精度"/>
  </x:tableColumns>
  <x:tableStyleInfo name="TableStyleLight1" showFirstColumn="0" showLastColumn="0" showRowStripes="1" showColumnStripes="0"/>
</x:table>
</file>

<file path=xl/tables/table2.xml><?xml version="1.0" encoding="utf-8"?>
<x:table xmlns:x="http://schemas.openxmlformats.org/spreadsheetml/2006/main" id="2" name="TrackedCases" displayName="TrackedCases" ref="A7:V118" headerRowCount="1" totalsRowCount="0" totalsRowShown="0">
  <x:autoFilter ref="A7:V118"/>
  <x:tableColumns count="22">
    <x:tableColumn id="1" name="案件ID"/>
    <x:tableColumn id="2" name="名称"/>
    <x:tableColumn id="3" name="地域"/>
    <x:tableColumn id="4" name="現況・確認できた状態"/>
    <x:tableColumn id="5" name="根拠時点"/>
    <x:tableColumn id="6" name="所管・関係府省"/>
    <x:tableColumn id="7" name="実施・運営主体"/>
    <x:tableColumn id="8" name="期間（原記載）"/>
    <x:tableColumn id="9" name="関連制度ID"/>
    <x:tableColumn id="10" name="制度の帰属記述"/>
    <x:tableColumn id="11" name="介入・実施内容"/>
    <x:tableColumn id="12" name="実施成果（アウトプット）"/>
    <x:tableColumn id="13" name="利用・社会成果（アウトカム）"/>
    <x:tableColumn id="14" name="制約・未確認事項"/>
    <x:tableColumn id="15" name="費用・財源（原記載）"/>
    <x:tableColumn id="16" name="公共価値・利用機会"/>
    <x:tableColumn id="17" name="最新運行等の補足"/>
    <x:tableColumn id="18" name="別名・旧ID"/>
    <x:tableColumn id="19" name="出典番号"/>
    <x:tableColumn id="20" name="主要根拠URL"/>
    <x:tableColumn id="21" name="その他の根拠URL"/>
    <x:tableColumn id="22" name="出典ID"/>
  </x:tableColumns>
  <x:tableStyleInfo name="TableStyleLight1" showFirstColumn="0" showLastColumn="0" showRowStripes="1" showColumnStripes="0"/>
</x:table>
</file>

<file path=xl/tables/table3.xml><?xml version="1.0" encoding="utf-8"?>
<x:table xmlns:x="http://schemas.openxmlformats.org/spreadsheetml/2006/main" id="3" name="PolicyPrograms" displayName="PolicyPrograms" ref="A7:P73" headerRowCount="1" totalsRowCount="0" totalsRowShown="0">
  <x:autoFilter ref="A7:P73"/>
  <x:tableColumns count="16">
    <x:tableColumn id="1" name="制度・系列ID"/>
    <x:tableColumn id="2" name="制度・系列名"/>
    <x:tableColumn id="3" name="所管・関係府省"/>
    <x:tableColumn id="4" name="対象期間（原記載）"/>
    <x:tableColumn id="5" name="目的・介入"/>
    <x:tableColumn id="6" name="政策の変遷"/>
    <x:tableColumn id="7" name="状態・確認できたこと"/>
    <x:tableColumn id="8" name="根拠時点"/>
    <x:tableColumn id="9" name="実施成果・確認根拠"/>
    <x:tableColumn id="10" name="制約・未確認事項"/>
    <x:tableColumn id="11" name="予算・支援額（原記載）"/>
    <x:tableColumn id="12" name="共同事業・旧ID"/>
    <x:tableColumn id="13" name="出典番号"/>
    <x:tableColumn id="14" name="主要根拠URL"/>
    <x:tableColumn id="15" name="その他の根拠URL"/>
    <x:tableColumn id="16" name="出典ID"/>
  </x:tableColumns>
  <x:tableStyleInfo name="TableStyleLight1" showFirstColumn="0" showLastColumn="0" showRowStripes="1" showColumnStripes="0"/>
</x:table>
</file>

<file path=xl/tables/table4.xml><?xml version="1.0" encoding="utf-8"?>
<x:table xmlns:x="http://schemas.openxmlformats.org/spreadsheetml/2006/main" id="4" name="SourceRegistry" displayName="SourceRegistry" ref="A7:G348" headerRowCount="1" totalsRowCount="0" totalsRowShown="0">
  <x:autoFilter ref="A7:G348"/>
  <x:tableColumns count="7">
    <x:tableColumn id="1" name="出典番号"/>
    <x:tableColumn id="2" name="出典ID"/>
    <x:tableColumn id="3" name="資料名"/>
    <x:tableColumn id="4" name="URL"/>
    <x:tableColumn id="5" name="資料日付（原記載）"/>
    <x:tableColumn id="6" name="該当箇所"/>
    <x:tableColumn id="7" name="確認日"/>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0ef393245a24a6b" /></Relationships>
</file>

<file path=xl/worksheets/_rels/sheet2.xml.rels>&#65279;<?xml version="1.0" encoding="utf-8"?><Relationships xmlns="http://schemas.openxmlformats.org/package/2006/relationships"><Relationship Type="http://schemas.openxmlformats.org/officeDocument/2006/relationships/table" Target="/xl/tables/table2.xml" Id="Rb86acc1c55fd4f75" /></Relationships>
</file>

<file path=xl/worksheets/_rels/sheet3.xml.rels>&#65279;<?xml version="1.0" encoding="utf-8"?><Relationships xmlns="http://schemas.openxmlformats.org/package/2006/relationships"><Relationship Type="http://schemas.openxmlformats.org/officeDocument/2006/relationships/table" Target="/xl/tables/table3.xml" Id="R265760289c5c4ba6" /></Relationships>
</file>

<file path=xl/worksheets/_rels/sheet4.xml.rels>&#65279;<?xml version="1.0" encoding="utf-8"?><Relationships xmlns="http://schemas.openxmlformats.org/package/2006/relationships"><Relationship Type="http://schemas.openxmlformats.org/officeDocument/2006/relationships/table" Target="/xl/tables/table4.xml" Id="Rf2e3642f62324b47" /></Relationships>
</file>

<file path=xl/worksheets/sheet1.xml><?xml version="1.0" encoding="utf-8"?>
<x:worksheet xmlns:x="http://schemas.openxmlformats.org/spreadsheetml/2006/main">
  <x:sheetPr>
    <x:tabColor rgb="FF324F64"/>
  </x:sheetPr>
  <x:sheetViews>
    <x:sheetView showGridLines="0" workbookViewId="0">
      <x:pane xSplit="3" ySplit="7" topLeftCell="D8" activePane="bottomRight" state="frozen"/>
    </x:sheetView>
  </x:sheetViews>
  <x:sheetFormatPr defaultRowHeight="15"/>
  <x:cols>
    <x:col min="1" max="1" width="15" hidden="0" customWidth="1"/>
    <x:col min="2" max="2" width="14" hidden="0" customWidth="1"/>
    <x:col min="3" max="3" width="18" hidden="0" customWidth="1"/>
    <x:col min="4" max="4" width="30" hidden="0" customWidth="1"/>
    <x:col min="5" max="5" width="60" hidden="0" customWidth="1"/>
    <x:col min="6" max="6" width="23" hidden="0" customWidth="1"/>
    <x:col min="7" max="7" width="11.5" hidden="0" customWidth="1"/>
    <x:col min="8" max="8" width="27" hidden="0" customWidth="1"/>
    <x:col min="9" max="9" width="21" hidden="0" customWidth="1"/>
    <x:col min="10" max="10" width="22" hidden="0" customWidth="1"/>
    <x:col min="11" max="11" width="15" hidden="0" customWidth="1"/>
    <x:col min="12" max="12" width="20" hidden="0" customWidth="1"/>
    <x:col min="13" max="13" width="13" hidden="0" customWidth="1"/>
    <x:col min="14" max="14" width="18" hidden="0" customWidth="1"/>
    <x:col min="15" max="15" width="46" hidden="0" customWidth="1"/>
    <x:col min="16" max="16" width="52" hidden="0" customWidth="1"/>
    <x:col min="17" max="17" width="19" hidden="0" customWidth="1"/>
    <x:col min="18" max="18" width="18.5" hidden="0" customWidth="1"/>
    <x:col min="19" max="19" width="11" hidden="0" customWidth="1"/>
    <x:col min="20" max="20" width="11" hidden="0" customWidth="1"/>
    <x:col min="21" max="21" width="16" hidden="0" customWidth="1"/>
    <x:col min="22" max="22" width="14" hidden="0" customWidth="1"/>
    <x:col min="23" max="23" width="27" hidden="0" customWidth="1"/>
    <x:col min="24" max="24" width="50" hidden="0" customWidth="1"/>
    <x:col min="25" max="25" width="9.5" hidden="0" customWidth="1"/>
    <x:col min="26" max="26" width="30" hidden="0" customWidth="1"/>
    <x:col min="27" max="27" width="50" hidden="0" customWidth="1"/>
    <x:col min="28" max="28" width="50"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row>
    <x:row r="2" ht="28" customHeight="1">
      <x:c r="A2" s="4" t="str">
        <x:v>日本のモビリティ施策・実証 年表</x:v>
      </x:c>
      <x:c r="B2" s="4"/>
      <x:c r="C2" s="4"/>
      <x:c r="D2" s="4"/>
      <x:c r="E2" s="4"/>
      <x:c r="F2" s="4"/>
      <x:c r="G2" s="4"/>
      <x:c r="H2" s="4"/>
      <x:c r="I2" s="4"/>
      <x:c r="J2" s="4"/>
      <x:c r="K2" s="4"/>
      <x:c r="L2" s="4"/>
      <x:c r="M2" s="4"/>
      <x:c r="N2" s="4"/>
      <x:c r="O2" s="4"/>
      <x:c r="P2" s="4"/>
      <x:c r="Q2" s="4"/>
      <x:c r="R2" s="4"/>
      <x:c r="S2" s="4"/>
      <x:c r="T2" s="4"/>
      <x:c r="U2" s="4"/>
      <x:c r="V2" s="4"/>
      <x:c r="W2" s="4"/>
      <x:c r="X2" s="4"/>
      <x:c r="Y2" s="4"/>
      <x:c r="Z2" s="4"/>
      <x:c r="AA2" s="4"/>
      <x:c r="AB2" s="4"/>
    </x:row>
    <x:row r="3" ht="20" customHeight="1">
      <x:c r="A3" s="5" t="str">
        <x:v>対象：2016年10月31日～2026年10月31日。必要な前史と当時の予定を含む。全国の全件・成功数ではありません。</x:v>
      </x:c>
      <x:c r="B3" s="5"/>
      <x:c r="C3" s="5"/>
      <x:c r="D3" s="5"/>
      <x:c r="E3" s="5"/>
      <x:c r="F3" s="5"/>
      <x:c r="G3" s="5"/>
      <x:c r="H3" s="5"/>
      <x:c r="I3" s="5"/>
      <x:c r="J3" s="5"/>
      <x:c r="K3" s="5"/>
      <x:c r="L3" s="5"/>
      <x:c r="M3" s="5"/>
      <x:c r="N3" s="5"/>
      <x:c r="O3" s="5"/>
      <x:c r="P3" s="5"/>
      <x:c r="Q3" s="5"/>
      <x:c r="R3" s="5"/>
      <x:c r="S3" s="5"/>
      <x:c r="T3" s="5"/>
      <x:c r="U3" s="5"/>
      <x:c r="V3" s="5"/>
      <x:c r="W3" s="5"/>
      <x:c r="X3" s="5"/>
      <x:c r="Y3" s="5"/>
      <x:c r="Z3" s="5"/>
      <x:c r="AA3" s="5"/>
      <x:c r="AB3" s="5"/>
    </x:row>
    <x:row r="4" ht="20" customHeight="1">
      <x:c r="A4" s="5" t="str">
        <x:v>案件・制度IDで絞り込み、初期並替順で復元。並替年・月は範囲始点です。実日付ではありません。</x:v>
      </x:c>
      <x:c r="B4" s="5"/>
      <x:c r="C4" s="5"/>
      <x:c r="D4" s="5"/>
      <x:c r="E4" s="5"/>
      <x:c r="F4" s="5"/>
      <x:c r="G4" s="5"/>
      <x:c r="H4" s="5"/>
      <x:c r="I4" s="5"/>
      <x:c r="J4" s="5"/>
      <x:c r="K4" s="5"/>
      <x:c r="L4" s="5"/>
      <x:c r="M4" s="5"/>
      <x:c r="N4" s="5"/>
      <x:c r="O4" s="5"/>
      <x:c r="P4" s="5"/>
      <x:c r="Q4" s="5"/>
      <x:c r="R4" s="5"/>
      <x:c r="S4" s="5"/>
      <x:c r="T4" s="5"/>
      <x:c r="U4" s="5"/>
      <x:c r="V4" s="5"/>
      <x:c r="W4" s="5"/>
      <x:c r="X4" s="5"/>
      <x:c r="Y4" s="5"/>
      <x:c r="Z4" s="5"/>
      <x:c r="AA4" s="5"/>
      <x:c r="AB4" s="5"/>
    </x:row>
    <x:row r="5" ht="24" customHeight="1">
      <x:c r="A5" s="2" t="str">
        <x:v>案件数</x:v>
      </x:c>
      <x:c r="B5" s="16" t="n">
        <x:f>COUNTA('事例'!A8:A118)</x:f>
        <x:v>111</x:v>
      </x:c>
      <x:c r="C5" s="2" t="str">
        <x:v>政策制度数</x:v>
      </x:c>
      <x:c r="D5" s="16" t="n">
        <x:f>COUNTA('政策制度'!A8:A73)</x:f>
        <x:v>66</x:v>
      </x:c>
      <x:c r="E5" s="2" t="str">
        <x:v>イベント数（地域・政策）</x:v>
      </x:c>
      <x:c r="F5" s="16" t="n">
        <x:f>COUNTA(Q8:Q474)</x:f>
        <x:v>467</x:v>
      </x:c>
      <x:c r="G5" s="2" t="str">
        <x:v>出典数</x:v>
      </x:c>
      <x:c r="H5" s="16" t="n">
        <x:f>COUNTA('出典'!A8:A348)</x:f>
        <x:v>341</x:v>
      </x:c>
      <x:c r="I5" s="2"/>
      <x:c r="J5" s="2"/>
      <x:c r="K5" s="2"/>
      <x:c r="L5" s="2"/>
      <x:c r="M5" s="2"/>
      <x:c r="N5" s="2"/>
      <x:c r="O5" s="2"/>
      <x:c r="P5" s="2"/>
      <x:c r="Q5" s="2"/>
      <x:c r="R5" s="2"/>
      <x:c r="S5" s="2"/>
      <x:c r="T5" s="2"/>
      <x:c r="U5" s="2"/>
      <x:c r="V5" s="2"/>
      <x:c r="W5" s="2"/>
      <x:c r="X5" s="2"/>
      <x:c r="Y5" s="2"/>
      <x:c r="Z5" s="2"/>
      <x:c r="AA5" s="2"/>
      <x:c r="AB5" s="2"/>
    </x:row>
    <x:row r="6" ht="8" customHeight="1">
      <x:c r="A6" s="2"/>
      <x:c r="B6" s="2"/>
      <x:c r="C6" s="2"/>
      <x:c r="D6" s="2"/>
      <x:c r="E6" s="2"/>
      <x:c r="F6" s="2"/>
      <x:c r="G6" s="2"/>
      <x:c r="H6" s="2"/>
      <x:c r="I6" s="2"/>
      <x:c r="J6" s="2"/>
      <x:c r="K6" s="2"/>
      <x:c r="L6" s="2"/>
      <x:c r="M6" s="2"/>
      <x:c r="N6" s="2"/>
      <x:c r="O6" s="2"/>
      <x:c r="P6" s="2"/>
      <x:c r="Q6" s="2"/>
      <x:c r="R6" s="2"/>
      <x:c r="S6" s="2"/>
      <x:c r="T6" s="2"/>
      <x:c r="U6" s="2"/>
      <x:c r="V6" s="2"/>
      <x:c r="W6" s="2"/>
      <x:c r="X6" s="2"/>
      <x:c r="Y6" s="2"/>
      <x:c r="Z6" s="2"/>
      <x:c r="AA6" s="2"/>
      <x:c r="AB6" s="2"/>
    </x:row>
    <x:row r="7" ht="34" customHeight="1">
      <x:c r="A7" s="11" t="str">
        <x:v>年月・期間</x:v>
      </x:c>
      <x:c r="B7" s="12" t="str">
        <x:v>日付精度</x:v>
      </x:c>
      <x:c r="C7" s="12" t="str">
        <x:v>案件・制度ID</x:v>
      </x:c>
      <x:c r="D7" s="12" t="str">
        <x:v>案件・制度名</x:v>
      </x:c>
      <x:c r="E7" s="12" t="str">
        <x:v>変化・出来事</x:v>
      </x:c>
      <x:c r="F7" s="12" t="str">
        <x:v>状態</x:v>
      </x:c>
      <x:c r="G7" s="12" t="str">
        <x:v>区分</x:v>
      </x:c>
      <x:c r="H7" s="12" t="str">
        <x:v>所管・関係府省</x:v>
      </x:c>
      <x:c r="I7" s="12" t="str">
        <x:v>地域</x:v>
      </x:c>
      <x:c r="J7" s="12" t="str">
        <x:v>関連制度ID</x:v>
      </x:c>
      <x:c r="K7" s="12" t="str">
        <x:v>代表資料公表日</x:v>
      </x:c>
      <x:c r="L7" s="12" t="str">
        <x:v>公表日の原記載</x:v>
      </x:c>
      <x:c r="M7" s="12" t="str">
        <x:v>確認日</x:v>
      </x:c>
      <x:c r="N7" s="12" t="str">
        <x:v>出典番号</x:v>
      </x:c>
      <x:c r="O7" s="12" t="str">
        <x:v>主要根拠URL</x:v>
      </x:c>
      <x:c r="P7" s="12" t="str">
        <x:v>注記</x:v>
      </x:c>
      <x:c r="Q7" s="12" t="str">
        <x:v>イベントID</x:v>
      </x:c>
      <x:c r="R7" s="12" t="str">
        <x:v>元案件・記録ID</x:v>
      </x:c>
      <x:c r="S7" s="12" t="str">
        <x:v>並替年（範囲始点）</x:v>
      </x:c>
      <x:c r="T7" s="12" t="str">
        <x:v>並替月（範囲始点）</x:v>
      </x:c>
      <x:c r="U7" s="12" t="str">
        <x:v>日付体系</x:v>
      </x:c>
      <x:c r="V7" s="12" t="str">
        <x:v>確定事象日</x:v>
      </x:c>
      <x:c r="W7" s="12" t="str">
        <x:v>出典ID</x:v>
      </x:c>
      <x:c r="X7" s="12" t="str">
        <x:v>その他の根拠URL</x:v>
      </x:c>
      <x:c r="Y7" s="12" t="str">
        <x:v>初期並替順</x:v>
      </x:c>
      <x:c r="Z7" s="12" t="str">
        <x:v>統合前イベントID</x:v>
      </x:c>
      <x:c r="AA7" s="12" t="str">
        <x:v>出典別公表日・原記載</x:v>
      </x:c>
      <x:c r="AB7" s="13" t="str">
        <x:v>統合前の日付・精度</x:v>
      </x:c>
    </x:row>
    <x:row r="8" ht="30" customHeight="1">
      <x:c r="A8" s="7" t="str">
        <x:v>2012年</x:v>
      </x:c>
      <x:c r="B8" s="7" t="str">
        <x:v>年</x:v>
      </x:c>
      <x:c r="C8" s="7" t="str">
        <x:v>OTHER-C02</x:v>
      </x:c>
      <x:c r="D8" s="7" t="str">
        <x:v>阿東地域 トイトイ地域生活拠点</x:v>
      </x:c>
      <x:c r="E8" s="7" t="str">
        <x:v>地域拠点を核とする構想開始 対象期間前史</x:v>
      </x:c>
      <x:c r="F8" s="7" t="str">
        <x:v>構想</x:v>
      </x:c>
      <x:c r="G8" s="7" t="str">
        <x:v>地域事例</x:v>
      </x:c>
      <x:c r="H8" s="7" t="str">
        <x:v>その他府省・横断</x:v>
      </x:c>
      <x:c r="I8" s="7" t="str">
        <x:v>山口県山口市阿東</x:v>
      </x:c>
      <x:c r="J8" s="7" t="str"/>
      <x:c r="K8" s="18" t="n">
        <x:v>45167</x:v>
      </x:c>
      <x:c r="L8" s="7" t="str">
        <x:v>2023-08-29</x:v>
      </x:c>
      <x:c r="M8" s="18" t="n">
        <x:v>46326</x:v>
      </x:c>
      <x:c r="N8" s="7" t="str">
        <x:v>S200</x:v>
      </x:c>
      <x:c r="O8" s="7" t="str">
        <x:v>https://www.maff.go.jp/j/nousin/digikatsu/attach/pdf/index-48.pdf</x:v>
      </x:c>
      <x:c r="P8" s="7" t="str"/>
      <x:c r="Q8" s="7" t="str">
        <x:v>EV-2ef0e9707a85</x:v>
      </x:c>
      <x:c r="R8" s="7" t="str">
        <x:v>OTHER-C02</x:v>
      </x:c>
      <x:c r="S8" s="20" t="n">
        <x:v>2012</x:v>
      </x:c>
      <x:c r="T8" s="20" t="n">
        <x:v>1</x:v>
      </x:c>
      <x:c r="U8" s="7" t="str">
        <x:v>暦年・暦月</x:v>
      </x:c>
      <x:c r="V8" s="18"/>
      <x:c r="W8" s="7" t="str">
        <x:v>SRC-c0a5f9cabe</x:v>
      </x:c>
      <x:c r="X8" s="7" t="str"/>
      <x:c r="Y8" s="20" t="n">
        <x:v>1</x:v>
      </x:c>
      <x:c r="Z8" s="7" t="str"/>
      <x:c r="AA8" s="7" t="str"/>
      <x:c r="AB8" s="7" t="str"/>
    </x:row>
    <x:row r="9" ht="40.400001525878906" customHeight="1">
      <x:c r="A9" s="7" t="str">
        <x:v>2016年</x:v>
      </x:c>
      <x:c r="B9" s="7" t="str">
        <x:v>年度の重なり</x:v>
      </x:c>
      <x:c r="C9" s="7" t="str">
        <x:v>ENV-C15</x:v>
      </x:c>
      <x:c r="D9" s="7" t="str">
        <x:v>周南・下関の副生水素モビリティ</x:v>
      </x:c>
      <x:c r="E9" s="7" t="str">
        <x:v>地域水素供給実証の対象期間内部分</x:v>
      </x:c>
      <x:c r="F9" s="7" t="str">
        <x:v>実証</x:v>
      </x:c>
      <x:c r="G9" s="7" t="str">
        <x:v>地域事例</x:v>
      </x:c>
      <x:c r="H9" s="7" t="str">
        <x:v>環境省</x:v>
      </x:c>
      <x:c r="I9" s="7" t="str">
        <x:v>山口県周南市・下関市</x:v>
      </x:c>
      <x:c r="J9" s="7" t="str">
        <x:v>ENV-P10</x:v>
      </x:c>
      <x:c r="K9" s="18"/>
      <x:c r="L9" s="7" t="str"/>
      <x:c r="M9" s="18" t="n">
        <x:v>46326</x:v>
      </x:c>
      <x:c r="N9" s="7" t="str">
        <x:v>S171</x:v>
      </x:c>
      <x:c r="O9" s="7" t="str">
        <x:v>https://www.env.go.jp/seisaku/list/ondanka_saisei/lowcarbon-h2-sc/company/PDF/demonstration_03.pdf</x:v>
      </x:c>
      <x:c r="P9" s="7" t="str"/>
      <x:c r="Q9" s="7" t="str">
        <x:v>EV-1249d0cda8f2</x:v>
      </x:c>
      <x:c r="R9" s="7" t="str">
        <x:v>ENV-C15</x:v>
      </x:c>
      <x:c r="S9" s="20" t="n">
        <x:v>2016</x:v>
      </x:c>
      <x:c r="T9" s="20" t="n">
        <x:v>1</x:v>
      </x:c>
      <x:c r="U9" s="7" t="str">
        <x:v>年度・年度末</x:v>
      </x:c>
      <x:c r="V9" s="18"/>
      <x:c r="W9" s="7" t="str">
        <x:v>SRC-75cbe03af4</x:v>
      </x:c>
      <x:c r="X9" s="7" t="str"/>
      <x:c r="Y9" s="20" t="n">
        <x:v>2</x:v>
      </x:c>
      <x:c r="Z9" s="7" t="str"/>
      <x:c r="AA9" s="7" t="str"/>
      <x:c r="AB9" s="7" t="str"/>
    </x:row>
    <x:row r="10" ht="54.599998474121094" customHeight="1">
      <x:c r="A10" s="7" t="str">
        <x:v>2016年</x:v>
      </x:c>
      <x:c r="B10" s="7" t="str">
        <x:v>年</x:v>
      </x:c>
      <x:c r="C10" s="7" t="str"/>
      <x:c r="D10" s="7" t="str">
        <x:v>国土交通省の政策動向</x:v>
      </x:c>
      <x:c r="E10" s="7" t="str">
        <x:v>12月国交省自動運転戦略本部、11月経産省・国交省端末交通実証公募。10月24日庄和ロッカー開始は主期間直前の前史。</x:v>
      </x:c>
      <x:c r="F10" s="7" t="str"/>
      <x:c r="G10" s="7" t="str">
        <x:v>政策制度</x:v>
      </x:c>
      <x:c r="H10" s="7" t="str">
        <x:v>国土交通省</x:v>
      </x:c>
      <x:c r="I10" s="7" t="str"/>
      <x:c r="J10" s="7" t="str"/>
      <x:c r="K10" s="18"/>
      <x:c r="L10" s="7" t="str"/>
      <x:c r="M10" s="18" t="n">
        <x:v>46326</x:v>
      </x:c>
      <x:c r="N10" s="7" t="str">
        <x:v>S223
S060
S244</x:v>
      </x:c>
      <x:c r="O10" s="7" t="str">
        <x:v>https://www.mlit.go.jp/common/001179600.pdf</x:v>
      </x:c>
      <x:c r="P10" s="7" t="str"/>
      <x:c r="Q10" s="7" t="str">
        <x:v>EV-7280644ea1aa</x:v>
      </x:c>
      <x:c r="R10" s="7" t="str">
        <x:v>mlit</x:v>
      </x:c>
      <x:c r="S10" s="20" t="n">
        <x:v>2016</x:v>
      </x:c>
      <x:c r="T10" s="20" t="n">
        <x:v>1</x:v>
      </x:c>
      <x:c r="U10" s="7" t="str">
        <x:v>暦年・暦月</x:v>
      </x:c>
      <x:c r="V10" s="18"/>
      <x:c r="W10" s="7" t="str">
        <x:v>SRC-f8a80a5792
SRC-84c6819f9a
SRC-25f967230a</x:v>
      </x:c>
      <x:c r="X10" s="7" t="str">
        <x:v>https://www.aist.go.jp/aist_j/news/pr20161107.html
https://www.mlit.go.jp/report/press/road01_hh_000755.html</x:v>
      </x:c>
      <x:c r="Y10" s="20" t="n">
        <x:v>3</x:v>
      </x:c>
      <x:c r="Z10" s="7" t="str"/>
      <x:c r="AA10" s="7" t="str"/>
      <x:c r="AB10" s="7" t="str"/>
    </x:row>
    <x:row r="11" ht="40.400001525878906" customHeight="1">
      <x:c r="A11" s="7" t="str">
        <x:v>2016年</x:v>
      </x:c>
      <x:c r="B11" s="7" t="str">
        <x:v>年度の重なり</x:v>
      </x:c>
      <x:c r="C11" s="7" t="str">
        <x:v>ENV-C13</x:v>
      </x:c>
      <x:c r="D11" s="7" t="str">
        <x:v>風力水素・FCフォークリフト物流</x:v>
      </x:c>
      <x:c r="E11" s="7" t="str">
        <x:v>本対象期間中も供給チェーン実証継続</x:v>
      </x:c>
      <x:c r="F11" s="7" t="str">
        <x:v>実証</x:v>
      </x:c>
      <x:c r="G11" s="7" t="str">
        <x:v>地域事例</x:v>
      </x:c>
      <x:c r="H11" s="7" t="str">
        <x:v>環境省</x:v>
      </x:c>
      <x:c r="I11" s="7" t="str">
        <x:v>神奈川県横浜市・川崎市</x:v>
      </x:c>
      <x:c r="J11" s="7" t="str">
        <x:v>ENV-P10</x:v>
      </x:c>
      <x:c r="K11" s="18"/>
      <x:c r="L11" s="7" t="str"/>
      <x:c r="M11" s="18" t="n">
        <x:v>46326</x:v>
      </x:c>
      <x:c r="N11" s="7" t="str">
        <x:v>S169</x:v>
      </x:c>
      <x:c r="O11" s="7" t="str">
        <x:v>https://www.env.go.jp/seisaku/list/ondanka_saisei/lowcarbon-h2-sc/company/PDF/demonstration_01.pdf</x:v>
      </x:c>
      <x:c r="P11" s="7" t="str"/>
      <x:c r="Q11" s="7" t="str">
        <x:v>EV-d56cc4b40380</x:v>
      </x:c>
      <x:c r="R11" s="7" t="str">
        <x:v>ENV-C13</x:v>
      </x:c>
      <x:c r="S11" s="20" t="n">
        <x:v>2016</x:v>
      </x:c>
      <x:c r="T11" s="20" t="n">
        <x:v>1</x:v>
      </x:c>
      <x:c r="U11" s="7" t="str">
        <x:v>年度・年度末</x:v>
      </x:c>
      <x:c r="V11" s="18"/>
      <x:c r="W11" s="7" t="str">
        <x:v>SRC-a622b09291</x:v>
      </x:c>
      <x:c r="X11" s="7" t="str"/>
      <x:c r="Y11" s="20" t="n">
        <x:v>4</x:v>
      </x:c>
      <x:c r="Z11" s="7" t="str"/>
      <x:c r="AA11" s="7" t="str"/>
      <x:c r="AB11" s="7" t="str"/>
    </x:row>
    <x:row r="12" ht="40.400001525878906" customHeight="1">
      <x:c r="A12" s="7" t="str">
        <x:v>2016年</x:v>
      </x:c>
      <x:c r="B12" s="7" t="str">
        <x:v>年度の重なり</x:v>
      </x:c>
      <x:c r="C12" s="7" t="str">
        <x:v>ENV-C16</x:v>
      </x:c>
      <x:c r="D12" s="7" t="str">
        <x:v>小水力水素の製造・輸送・FCV利用</x:v>
      </x:c>
      <x:c r="E12" s="7" t="str">
        <x:v>小水力水素実証の対象期間内継続</x:v>
      </x:c>
      <x:c r="F12" s="7" t="str">
        <x:v>実証</x:v>
      </x:c>
      <x:c r="G12" s="7" t="str">
        <x:v>地域事例</x:v>
      </x:c>
      <x:c r="H12" s="7" t="str">
        <x:v>環境省</x:v>
      </x:c>
      <x:c r="I12" s="7" t="str">
        <x:v>北海道白糠町・釧路市・士別市</x:v>
      </x:c>
      <x:c r="J12" s="7" t="str">
        <x:v>ENV-P10</x:v>
      </x:c>
      <x:c r="K12" s="18"/>
      <x:c r="L12" s="7" t="str"/>
      <x:c r="M12" s="18" t="n">
        <x:v>46326</x:v>
      </x:c>
      <x:c r="N12" s="7" t="str">
        <x:v>S172</x:v>
      </x:c>
      <x:c r="O12" s="7" t="str">
        <x:v>https://www.env.go.jp/seisaku/list/ondanka_saisei/lowcarbon-h2-sc/company/PDF/demonstration_05.pdf</x:v>
      </x:c>
      <x:c r="P12" s="7" t="str"/>
      <x:c r="Q12" s="7" t="str">
        <x:v>EV-f7de549bee8e</x:v>
      </x:c>
      <x:c r="R12" s="7" t="str">
        <x:v>ENV-C16</x:v>
      </x:c>
      <x:c r="S12" s="20" t="n">
        <x:v>2016</x:v>
      </x:c>
      <x:c r="T12" s="20" t="n">
        <x:v>1</x:v>
      </x:c>
      <x:c r="U12" s="7" t="str">
        <x:v>年度・年度末</x:v>
      </x:c>
      <x:c r="V12" s="18"/>
      <x:c r="W12" s="7" t="str">
        <x:v>SRC-042a78d4f8</x:v>
      </x:c>
      <x:c r="X12" s="7" t="str"/>
      <x:c r="Y12" s="20" t="n">
        <x:v>5</x:v>
      </x:c>
      <x:c r="Z12" s="7" t="str"/>
      <x:c r="AA12" s="7" t="str"/>
      <x:c r="AB12" s="7" t="str"/>
    </x:row>
    <x:row r="13" ht="30" customHeight="1">
      <x:c r="A13" s="7" t="str">
        <x:v>2016年10月</x:v>
      </x:c>
      <x:c r="B13" s="7" t="str">
        <x:v>月</x:v>
      </x:c>
      <x:c r="C13" s="7" t="str">
        <x:v>OTHER-C01</x:v>
      </x:c>
      <x:c r="D13" s="7" t="str">
        <x:v>加子母の広報と生活支援 配達</x:v>
      </x:c>
      <x:c r="E13" s="7" t="str">
        <x:v>地域広報システム整備プロジェクト開始</x:v>
      </x:c>
      <x:c r="F13" s="7" t="str">
        <x:v>計画・整備</x:v>
      </x:c>
      <x:c r="G13" s="7" t="str">
        <x:v>地域事例</x:v>
      </x:c>
      <x:c r="H13" s="7" t="str">
        <x:v>その他府省・横断</x:v>
      </x:c>
      <x:c r="I13" s="7" t="str">
        <x:v>岐阜県中津川市</x:v>
      </x:c>
      <x:c r="J13" s="7" t="str"/>
      <x:c r="K13" s="18" t="n">
        <x:v>45167</x:v>
      </x:c>
      <x:c r="L13" s="7" t="str">
        <x:v>2023-08-29</x:v>
      </x:c>
      <x:c r="M13" s="18" t="n">
        <x:v>46326</x:v>
      </x:c>
      <x:c r="N13" s="7" t="str">
        <x:v>S199</x:v>
      </x:c>
      <x:c r="O13" s="7" t="str">
        <x:v>https://www.maff.go.jp/j/nousin/digikatsu/attach/pdf/index-47.pdf</x:v>
      </x:c>
      <x:c r="P13" s="7" t="str"/>
      <x:c r="Q13" s="7" t="str">
        <x:v>EV-68eb9ef589a0</x:v>
      </x:c>
      <x:c r="R13" s="7" t="str">
        <x:v>OTHER-C01</x:v>
      </x:c>
      <x:c r="S13" s="20" t="n">
        <x:v>2016</x:v>
      </x:c>
      <x:c r="T13" s="20" t="n">
        <x:v>10</x:v>
      </x:c>
      <x:c r="U13" s="7" t="str">
        <x:v>暦年・暦月</x:v>
      </x:c>
      <x:c r="V13" s="18"/>
      <x:c r="W13" s="7" t="str">
        <x:v>SRC-11b5defcfd</x:v>
      </x:c>
      <x:c r="X13" s="7" t="str"/>
      <x:c r="Y13" s="20" t="n">
        <x:v>6</x:v>
      </x:c>
      <x:c r="Z13" s="7" t="str"/>
      <x:c r="AA13" s="7" t="str"/>
      <x:c r="AB13" s="7" t="str"/>
    </x:row>
    <x:row r="14" ht="30" customHeight="1">
      <x:c r="A14" s="7" t="str">
        <x:v>2016年10月24日</x:v>
      </x:c>
      <x:c r="B14" s="7" t="str">
        <x:v>日</x:v>
      </x:c>
      <x:c r="C14" s="7" t="str">
        <x:v>mlit_showa</x:v>
      </x:c>
      <x:c r="D14" s="7" t="str">
        <x:v>道の駅庄和 宅配ロッカー</x:v>
      </x:c>
      <x:c r="E14" s="7" t="str">
        <x:v>実験開始（対象期間直前）</x:v>
      </x:c>
      <x:c r="F14" s="7" t="str">
        <x:v>実証</x:v>
      </x:c>
      <x:c r="G14" s="7" t="str">
        <x:v>地域事例</x:v>
      </x:c>
      <x:c r="H14" s="7" t="str">
        <x:v>国土交通省</x:v>
      </x:c>
      <x:c r="I14" s="7" t="str">
        <x:v>埼玉県春日部市</x:v>
      </x:c>
      <x:c r="J14" s="7" t="str">
        <x:v>locker_program</x:v>
      </x:c>
      <x:c r="K14" s="18" t="n">
        <x:v>42656</x:v>
      </x:c>
      <x:c r="L14" s="7" t="str">
        <x:v>2016-10-13</x:v>
      </x:c>
      <x:c r="M14" s="18" t="n">
        <x:v>46326</x:v>
      </x:c>
      <x:c r="N14" s="7" t="str">
        <x:v>S244</x:v>
      </x:c>
      <x:c r="O14" s="7" t="str">
        <x:v>https://www.mlit.go.jp/report/press/road01_hh_000755.html</x:v>
      </x:c>
      <x:c r="P14" s="7" t="str"/>
      <x:c r="Q14" s="7" t="str">
        <x:v>EV-1fa5fe789dc1</x:v>
      </x:c>
      <x:c r="R14" s="7" t="str">
        <x:v>mlit_showa</x:v>
      </x:c>
      <x:c r="S14" s="20" t="n">
        <x:v>2016</x:v>
      </x:c>
      <x:c r="T14" s="20" t="n">
        <x:v>10</x:v>
      </x:c>
      <x:c r="U14" s="7" t="str">
        <x:v>暦年・暦月</x:v>
      </x:c>
      <x:c r="V14" s="18" t="n">
        <x:v>42667</x:v>
      </x:c>
      <x:c r="W14" s="7" t="str">
        <x:v>SRC-25f967230a</x:v>
      </x:c>
      <x:c r="X14" s="7" t="str"/>
      <x:c r="Y14" s="20" t="n">
        <x:v>7</x:v>
      </x:c>
      <x:c r="Z14" s="7" t="str"/>
      <x:c r="AA14" s="7" t="str"/>
      <x:c r="AB14" s="7" t="str"/>
    </x:row>
    <x:row r="15" ht="40.400001525878906" customHeight="1">
      <x:c r="A15" s="7" t="str">
        <x:v>2017年1月</x:v>
      </x:c>
      <x:c r="B15" s="7" t="str">
        <x:v>月</x:v>
      </x:c>
      <x:c r="C15" s="7" t="str">
        <x:v>meti_eiheiji</x:v>
      </x:c>
      <x:c r="D15" s="7" t="str">
        <x:v>永平寺町 ZEN drive</x:v>
      </x:c>
      <x:c r="E15" s="7" t="str">
        <x:v>実証地域に選定</x:v>
      </x:c>
      <x:c r="F15" s="7" t="str">
        <x:v>採択</x:v>
      </x:c>
      <x:c r="G15" s="7" t="str">
        <x:v>地域事例</x:v>
      </x:c>
      <x:c r="H15" s="7" t="str">
        <x:v>経済産業省
横断検証（個別所管は資料参照）</x:v>
      </x:c>
      <x:c r="I15" s="7" t="str">
        <x:v>福井県永平寺町</x:v>
      </x:c>
      <x:c r="J15" s="7" t="str">
        <x:v>lastmile
roadl4</x:v>
      </x:c>
      <x:c r="K15" s="18" t="n">
        <x:v>46086</x:v>
      </x:c>
      <x:c r="L15" s="7" t="str">
        <x:v>2026-03-05</x:v>
      </x:c>
      <x:c r="M15" s="18" t="n">
        <x:v>46326</x:v>
      </x:c>
      <x:c r="N15" s="7" t="str">
        <x:v>S309</x:v>
      </x:c>
      <x:c r="O15" s="7" t="str">
        <x:v>https://www.road-to-the-l4.go.jp/publication/pdf/02-2_theme01_20260305.pdf</x:v>
      </x:c>
      <x:c r="P15" s="7" t="str"/>
      <x:c r="Q15" s="7" t="str">
        <x:v>EV-4ce8b09a0ca2</x:v>
      </x:c>
      <x:c r="R15" s="7" t="str">
        <x:v>meti_eiheiji</x:v>
      </x:c>
      <x:c r="S15" s="20" t="n">
        <x:v>2017</x:v>
      </x:c>
      <x:c r="T15" s="20" t="n">
        <x:v>1</x:v>
      </x:c>
      <x:c r="U15" s="7" t="str">
        <x:v>暦年・暦月</x:v>
      </x:c>
      <x:c r="V15" s="18"/>
      <x:c r="W15" s="7" t="str">
        <x:v>SRC-3022c44cce</x:v>
      </x:c>
      <x:c r="X15" s="7" t="str"/>
      <x:c r="Y15" s="20" t="n">
        <x:v>8</x:v>
      </x:c>
      <x:c r="Z15" s="7" t="str"/>
      <x:c r="AA15" s="7" t="str"/>
      <x:c r="AB15" s="7" t="str"/>
    </x:row>
    <x:row r="16" ht="30" customHeight="1">
      <x:c r="A16" s="7" t="str">
        <x:v>2017年</x:v>
      </x:c>
      <x:c r="B16" s="7" t="str">
        <x:v>年</x:v>
      </x:c>
      <x:c r="C16" s="7" t="str">
        <x:v>V-C03</x:v>
      </x:c>
      <x:c r="D16" s="7" t="str">
        <x:v>上士幌自動運転</x:v>
      </x:c>
      <x:c r="E16" s="7" t="str">
        <x:v>町公式経緯一覧の起点</x:v>
      </x:c>
      <x:c r="F16" s="7" t="str">
        <x:v>実証開始</x:v>
      </x:c>
      <x:c r="G16" s="7" t="str">
        <x:v>地域事例</x:v>
      </x:c>
      <x:c r="H16" s="7" t="str">
        <x:v>横断検証（個別所管は資料参照）</x:v>
      </x:c>
      <x:c r="I16" s="7" t="str">
        <x:v>北海道上士幌町</x:v>
      </x:c>
      <x:c r="J16" s="7" t="str"/>
      <x:c r="K16" s="18"/>
      <x:c r="L16" s="7" t="str"/>
      <x:c r="M16" s="18" t="n">
        <x:v>46326</x:v>
      </x:c>
      <x:c r="N16" s="7" t="str">
        <x:v>S188</x:v>
      </x:c>
      <x:c r="O16" s="7" t="str">
        <x:v>https://www.kamishihoro.jp/sp/self_driving_bus</x:v>
      </x:c>
      <x:c r="P16" s="7" t="str"/>
      <x:c r="Q16" s="7" t="str">
        <x:v>EV-64b0d72d2d1f</x:v>
      </x:c>
      <x:c r="R16" s="7" t="str">
        <x:v>V-C03</x:v>
      </x:c>
      <x:c r="S16" s="20" t="n">
        <x:v>2017</x:v>
      </x:c>
      <x:c r="T16" s="20" t="n">
        <x:v>1</x:v>
      </x:c>
      <x:c r="U16" s="7" t="str">
        <x:v>暦年・暦月</x:v>
      </x:c>
      <x:c r="V16" s="18"/>
      <x:c r="W16" s="7" t="str">
        <x:v>SRC-6bba5e5a9d</x:v>
      </x:c>
      <x:c r="X16" s="7" t="str"/>
      <x:c r="Y16" s="20" t="n">
        <x:v>9</x:v>
      </x:c>
      <x:c r="Z16" s="7" t="str"/>
      <x:c r="AA16" s="7" t="str"/>
      <x:c r="AB16" s="7" t="str"/>
    </x:row>
    <x:row r="17" ht="40.400001525878906" customHeight="1">
      <x:c r="A17" s="7" t="str">
        <x:v>2017年</x:v>
      </x:c>
      <x:c r="B17" s="7" t="str">
        <x:v>年</x:v>
      </x:c>
      <x:c r="C17" s="7" t="str"/>
      <x:c r="D17" s="7" t="str">
        <x:v>国土交通省の政策動向</x:v>
      </x:c>
      <x:c r="E17" s="7" t="str">
        <x:v>道の駅等13箇所短期自動運転実験。貨客混載の導入促進運用変更。</x:v>
      </x:c>
      <x:c r="F17" s="7" t="str"/>
      <x:c r="G17" s="7" t="str">
        <x:v>政策制度</x:v>
      </x:c>
      <x:c r="H17" s="7" t="str">
        <x:v>国土交通省</x:v>
      </x:c>
      <x:c r="I17" s="7" t="str"/>
      <x:c r="J17" s="7" t="str"/>
      <x:c r="K17" s="18"/>
      <x:c r="L17" s="7" t="str"/>
      <x:c r="M17" s="18" t="n">
        <x:v>46326</x:v>
      </x:c>
      <x:c r="N17" s="7" t="str">
        <x:v>S296
S240</x:v>
      </x:c>
      <x:c r="O17" s="7" t="str">
        <x:v>https://www.nilim.go.jp/lab/qcg/research/automated-driving.html</x:v>
      </x:c>
      <x:c r="P17" s="7" t="str"/>
      <x:c r="Q17" s="7" t="str">
        <x:v>EV-e83e49a4c6fa</x:v>
      </x:c>
      <x:c r="R17" s="7" t="str">
        <x:v>mlit</x:v>
      </x:c>
      <x:c r="S17" s="20" t="n">
        <x:v>2017</x:v>
      </x:c>
      <x:c r="T17" s="20" t="n">
        <x:v>1</x:v>
      </x:c>
      <x:c r="U17" s="7" t="str">
        <x:v>暦年・暦月</x:v>
      </x:c>
      <x:c r="V17" s="18"/>
      <x:c r="W17" s="7" t="str">
        <x:v>SRC-82fa3d7d09
SRC-cec4fe6799</x:v>
      </x:c>
      <x:c r="X17" s="7" t="str">
        <x:v>https://www.mlit.go.jp/report/press/jidosha04_hh_000134.html</x:v>
      </x:c>
      <x:c r="Y17" s="20" t="n">
        <x:v>10</x:v>
      </x:c>
      <x:c r="Z17" s="7" t="str"/>
      <x:c r="AA17" s="7" t="str"/>
      <x:c r="AB17" s="7" t="str"/>
    </x:row>
    <x:row r="18" ht="30" customHeight="1">
      <x:c r="A18" s="7" t="str">
        <x:v>2017年1月24日</x:v>
      </x:c>
      <x:c r="B18" s="7" t="str">
        <x:v>日</x:v>
      </x:c>
      <x:c r="C18" s="7" t="str">
        <x:v>ENV-C14</x:v>
      </x:c>
      <x:c r="D18" s="7" t="str">
        <x:v>しかおい水素ファーム</x:v>
      </x:c>
      <x:c r="E18" s="7" t="str">
        <x:v>しかおい水素ファーム開所</x:v>
      </x:c>
      <x:c r="F18" s="7" t="str">
        <x:v>実証拠点開所</x:v>
      </x:c>
      <x:c r="G18" s="7" t="str">
        <x:v>地域事例</x:v>
      </x:c>
      <x:c r="H18" s="7" t="str">
        <x:v>環境省</x:v>
      </x:c>
      <x:c r="I18" s="7" t="str">
        <x:v>北海道鹿追町・帯広等</x:v>
      </x:c>
      <x:c r="J18" s="7" t="str">
        <x:v>ENV-P10</x:v>
      </x:c>
      <x:c r="K18" s="18" t="str">
        <x:v>2017-01</x:v>
      </x:c>
      <x:c r="L18" s="7" t="str">
        <x:v>2017-01</x:v>
      </x:c>
      <x:c r="M18" s="18" t="n">
        <x:v>46326</x:v>
      </x:c>
      <x:c r="N18" s="7" t="str">
        <x:v>S161</x:v>
      </x:c>
      <x:c r="O18" s="7" t="str">
        <x:v>https://www.env.go.jp/press/103519.html</x:v>
      </x:c>
      <x:c r="P18" s="7" t="str"/>
      <x:c r="Q18" s="7" t="str">
        <x:v>EV-838c63250a2f</x:v>
      </x:c>
      <x:c r="R18" s="7" t="str">
        <x:v>ENV-C14</x:v>
      </x:c>
      <x:c r="S18" s="20" t="n">
        <x:v>2017</x:v>
      </x:c>
      <x:c r="T18" s="20" t="n">
        <x:v>1</x:v>
      </x:c>
      <x:c r="U18" s="7" t="str">
        <x:v>暦年・暦月</x:v>
      </x:c>
      <x:c r="V18" s="18" t="n">
        <x:v>42759</x:v>
      </x:c>
      <x:c r="W18" s="7" t="str">
        <x:v>SRC-0638f0fbc7</x:v>
      </x:c>
      <x:c r="X18" s="7" t="str"/>
      <x:c r="Y18" s="20" t="n">
        <x:v>11</x:v>
      </x:c>
      <x:c r="Z18" s="7" t="str"/>
      <x:c r="AA18" s="7" t="str"/>
      <x:c r="AB18" s="7" t="str"/>
    </x:row>
    <x:row r="19" ht="40.400001525878906" customHeight="1">
      <x:c r="A19" s="7" t="str">
        <x:v>2017年3月30日</x:v>
      </x:c>
      <x:c r="B19" s="7" t="str">
        <x:v>日</x:v>
      </x:c>
      <x:c r="C19" s="7" t="str">
        <x:v>mlit_showa</x:v>
      </x:c>
      <x:c r="D19" s="7" t="str">
        <x:v>道の駅庄和 宅配ロッカー</x:v>
      </x:c>
      <x:c r="E19" s="7" t="str">
        <x:v>国交省説明資料に運用・継続予定掲載</x:v>
      </x:c>
      <x:c r="F19" s="7" t="str">
        <x:v>実証</x:v>
      </x:c>
      <x:c r="G19" s="7" t="str">
        <x:v>地域事例</x:v>
      </x:c>
      <x:c r="H19" s="7" t="str">
        <x:v>国土交通省</x:v>
      </x:c>
      <x:c r="I19" s="7" t="str">
        <x:v>埼玉県春日部市</x:v>
      </x:c>
      <x:c r="J19" s="7" t="str">
        <x:v>locker_program</x:v>
      </x:c>
      <x:c r="K19" s="18" t="n">
        <x:v>42824</x:v>
      </x:c>
      <x:c r="L19" s="7" t="str">
        <x:v>2017-03-30</x:v>
      </x:c>
      <x:c r="M19" s="18" t="n">
        <x:v>46326</x:v>
      </x:c>
      <x:c r="N19" s="7" t="str">
        <x:v>S123</x:v>
      </x:c>
      <x:c r="O19" s="7" t="str">
        <x:v>https://www.city.yokohama.lg.jp/kurashi/machizukuri-kankyo/kotsu/toshikotsu/seisaku/kako/past.files/0150_20210203.pdf</x:v>
      </x:c>
      <x:c r="P19" s="7" t="str"/>
      <x:c r="Q19" s="7" t="str">
        <x:v>EV-b7854f237383</x:v>
      </x:c>
      <x:c r="R19" s="7" t="str">
        <x:v>mlit_showa</x:v>
      </x:c>
      <x:c r="S19" s="20" t="n">
        <x:v>2017</x:v>
      </x:c>
      <x:c r="T19" s="20" t="n">
        <x:v>3</x:v>
      </x:c>
      <x:c r="U19" s="7" t="str">
        <x:v>暦年・暦月</x:v>
      </x:c>
      <x:c r="V19" s="18" t="n">
        <x:v>42824</x:v>
      </x:c>
      <x:c r="W19" s="7" t="str">
        <x:v>SRC-dc35151b94</x:v>
      </x:c>
      <x:c r="X19" s="7" t="str"/>
      <x:c r="Y19" s="20" t="n">
        <x:v>12</x:v>
      </x:c>
      <x:c r="Z19" s="7" t="str"/>
      <x:c r="AA19" s="7" t="str"/>
      <x:c r="AB19" s="7" t="str"/>
    </x:row>
    <x:row r="20" ht="30" customHeight="1">
      <x:c r="A20" s="7" t="str">
        <x:v>2017年度</x:v>
      </x:c>
      <x:c r="B20" s="7" t="str">
        <x:v>年度</x:v>
      </x:c>
      <x:c r="C20" s="7" t="str">
        <x:v>ENV-C18</x:v>
      </x:c>
      <x:c r="D20" s="7" t="str">
        <x:v>電車回生電力とEVバス超急速充電</x:v>
      </x:c>
      <x:c r="E20" s="7" t="str">
        <x:v>技術開発実証開始</x:v>
      </x:c>
      <x:c r="F20" s="7" t="str">
        <x:v>実証開始</x:v>
      </x:c>
      <x:c r="G20" s="7" t="str">
        <x:v>地域事例</x:v>
      </x:c>
      <x:c r="H20" s="7" t="str">
        <x:v>環境省</x:v>
      </x:c>
      <x:c r="I20" s="7" t="str">
        <x:v>埼玉県さいたま市浦和美園</x:v>
      </x:c>
      <x:c r="J20" s="7" t="str">
        <x:v>ENV-P09</x:v>
      </x:c>
      <x:c r="K20" s="18"/>
      <x:c r="L20" s="7" t="str"/>
      <x:c r="M20" s="18" t="n">
        <x:v>46326</x:v>
      </x:c>
      <x:c r="N20" s="7" t="str">
        <x:v>S158</x:v>
      </x:c>
      <x:c r="O20" s="7" t="str">
        <x:v>https://www.env.go.jp/earth/ondanka/cpttv_funds/pdf/db/222.pdf</x:v>
      </x:c>
      <x:c r="P20" s="7" t="str"/>
      <x:c r="Q20" s="7" t="str">
        <x:v>EV-151f9c2888f1</x:v>
      </x:c>
      <x:c r="R20" s="7" t="str">
        <x:v>ENV-C18</x:v>
      </x:c>
      <x:c r="S20" s="20" t="n">
        <x:v>2017</x:v>
      </x:c>
      <x:c r="T20" s="20" t="n">
        <x:v>4</x:v>
      </x:c>
      <x:c r="U20" s="7" t="str">
        <x:v>年度・年度末</x:v>
      </x:c>
      <x:c r="V20" s="18"/>
      <x:c r="W20" s="7" t="str">
        <x:v>SRC-b7e7392af8</x:v>
      </x:c>
      <x:c r="X20" s="7" t="str"/>
      <x:c r="Y20" s="20" t="n">
        <x:v>13</x:v>
      </x:c>
      <x:c r="Z20" s="7" t="str"/>
      <x:c r="AA20" s="7" t="str"/>
      <x:c r="AB20" s="7" t="str"/>
    </x:row>
    <x:row r="21" ht="40.400001525878906" customHeight="1">
      <x:c r="A21" s="7" t="str">
        <x:v>2017年度</x:v>
      </x:c>
      <x:c r="B21" s="7" t="str">
        <x:v>年度</x:v>
      </x:c>
      <x:c r="C21" s="7" t="str">
        <x:v>dress</x:v>
      </x:c>
      <x:c r="D21" s="7" t="str">
        <x:v>DRESS：ロボット・ドローンが活躍する省エネルギー社会</x:v>
      </x:c>
      <x:c r="E21" s="7" t="str">
        <x:v>経産省 NEDOのDRESSが開始。ドローンの性能評価 運航管理を2021年度まで検証する研究事業。</x:v>
      </x:c>
      <x:c r="F21" s="7" t="str">
        <x:v>事業開始</x:v>
      </x:c>
      <x:c r="G21" s="7" t="str">
        <x:v>政策制度</x:v>
      </x:c>
      <x:c r="H21" s="7" t="str">
        <x:v>経済産業省</x:v>
      </x:c>
      <x:c r="I21" s="7" t="str"/>
      <x:c r="J21" s="7" t="str">
        <x:v>dress</x:v>
      </x:c>
      <x:c r="K21" s="18" t="n">
        <x:v>44165</x:v>
      </x:c>
      <x:c r="L21" s="7" t="str">
        <x:v>2020-11-30</x:v>
      </x:c>
      <x:c r="M21" s="18" t="n">
        <x:v>46326</x:v>
      </x:c>
      <x:c r="N21" s="7" t="str">
        <x:v>S291</x:v>
      </x:c>
      <x:c r="O21" s="7" t="str">
        <x:v>https://www.nedo.go.jp/news/press/AA5_101385.html</x:v>
      </x:c>
      <x:c r="P21" s="7" t="str"/>
      <x:c r="Q21" s="7" t="str">
        <x:v>EV-6174deb928c8</x:v>
      </x:c>
      <x:c r="R21" s="7" t="str">
        <x:v>integrated</x:v>
      </x:c>
      <x:c r="S21" s="20" t="n">
        <x:v>2017</x:v>
      </x:c>
      <x:c r="T21" s="20" t="n">
        <x:v>4</x:v>
      </x:c>
      <x:c r="U21" s="7" t="str">
        <x:v>年度・年度末</x:v>
      </x:c>
      <x:c r="V21" s="18"/>
      <x:c r="W21" s="7" t="str">
        <x:v>SRC-f1d7b73408</x:v>
      </x:c>
      <x:c r="X21" s="7" t="str"/>
      <x:c r="Y21" s="20" t="n">
        <x:v>14</x:v>
      </x:c>
      <x:c r="Z21" s="7" t="str"/>
      <x:c r="AA21" s="7" t="str"/>
      <x:c r="AB21" s="7" t="str"/>
    </x:row>
    <x:row r="22" ht="30" customHeight="1">
      <x:c r="A22" s="7" t="str">
        <x:v>2017年度</x:v>
      </x:c>
      <x:c r="B22" s="7" t="str">
        <x:v>年度</x:v>
      </x:c>
      <x:c r="C22" s="7" t="str">
        <x:v>meti_fukushima_rtf</x:v>
      </x:c>
      <x:c r="D22" s="7" t="str">
        <x:v>福島RTFドローン運航管理</x:v>
      </x:c>
      <x:c r="E22" s="7" t="str">
        <x:v>DRESS開始</x:v>
      </x:c>
      <x:c r="F22" s="7" t="str">
        <x:v>研究開始</x:v>
      </x:c>
      <x:c r="G22" s="7" t="str">
        <x:v>地域事例</x:v>
      </x:c>
      <x:c r="H22" s="7" t="str">
        <x:v>経済産業省</x:v>
      </x:c>
      <x:c r="I22" s="7" t="str">
        <x:v>福島県南相馬市等</x:v>
      </x:c>
      <x:c r="J22" s="7" t="str">
        <x:v>dress</x:v>
      </x:c>
      <x:c r="K22" s="18" t="n">
        <x:v>44165</x:v>
      </x:c>
      <x:c r="L22" s="7" t="str">
        <x:v>2020-11-30</x:v>
      </x:c>
      <x:c r="M22" s="18" t="n">
        <x:v>46326</x:v>
      </x:c>
      <x:c r="N22" s="7" t="str">
        <x:v>S291</x:v>
      </x:c>
      <x:c r="O22" s="7" t="str">
        <x:v>https://www.nedo.go.jp/news/press/AA5_101385.html</x:v>
      </x:c>
      <x:c r="P22" s="7" t="str"/>
      <x:c r="Q22" s="7" t="str">
        <x:v>EV-9a89cb555c1f</x:v>
      </x:c>
      <x:c r="R22" s="7" t="str">
        <x:v>meti_fukushima_rtf</x:v>
      </x:c>
      <x:c r="S22" s="20" t="n">
        <x:v>2017</x:v>
      </x:c>
      <x:c r="T22" s="20" t="n">
        <x:v>4</x:v>
      </x:c>
      <x:c r="U22" s="7" t="str">
        <x:v>年度・年度末</x:v>
      </x:c>
      <x:c r="V22" s="18"/>
      <x:c r="W22" s="7" t="str">
        <x:v>SRC-f1d7b73408</x:v>
      </x:c>
      <x:c r="X22" s="7" t="str"/>
      <x:c r="Y22" s="20" t="n">
        <x:v>15</x:v>
      </x:c>
      <x:c r="Z22" s="7" t="str"/>
      <x:c r="AA22" s="7" t="str"/>
      <x:c r="AB22" s="7" t="str"/>
    </x:row>
    <x:row r="23" ht="54.599998474121094" customHeight="1">
      <x:c r="A23" s="7" t="str">
        <x:v>2017年5月30日</x:v>
      </x:c>
      <x:c r="B23" s="7" t="str">
        <x:v>日</x:v>
      </x:c>
      <x:c r="C23" s="7" t="str">
        <x:v>DIG-P01</x:v>
      </x:c>
      <x:c r="D23" s="7" t="str">
        <x:v>官民ITS構想・ロードマップ（前身政策）</x:v>
      </x:c>
      <x:c r="E23" s="7" t="str">
        <x:v>官民ITSロードマップ2017。前身主体は内閣官房IT総合戦略室。</x:v>
      </x:c>
      <x:c r="F23" s="7" t="str">
        <x:v>戦略公表</x:v>
      </x:c>
      <x:c r="G23" s="7" t="str">
        <x:v>政策制度</x:v>
      </x:c>
      <x:c r="H23" s="7" t="str">
        <x:v>内閣官房IT総合戦略室
IT総合戦略本部・官民データ活用推進戦略会議</x:v>
      </x:c>
      <x:c r="I23" s="7" t="str"/>
      <x:c r="J23" s="7" t="str">
        <x:v>DIG-P01</x:v>
      </x:c>
      <x:c r="K23" s="18" t="n">
        <x:v>42885</x:v>
      </x:c>
      <x:c r="L23" s="7" t="str">
        <x:v>2017-05-30</x:v>
      </x:c>
      <x:c r="M23" s="18" t="n">
        <x:v>46326</x:v>
      </x:c>
      <x:c r="N23" s="7" t="str">
        <x:v>S006</x:v>
      </x:c>
      <x:c r="O23" s="7" t="str">
        <x:v>https://cio.go.jp/sites/default/files/uploads/documents/its_roadmapkeiitopoint.pdf</x:v>
      </x:c>
      <x:c r="P23" s="7" t="str"/>
      <x:c r="Q23" s="7" t="str">
        <x:v>EV-ad085f2f9f73</x:v>
      </x:c>
      <x:c r="R23" s="7" t="str">
        <x:v>DIG-P01</x:v>
      </x:c>
      <x:c r="S23" s="20" t="n">
        <x:v>2017</x:v>
      </x:c>
      <x:c r="T23" s="20" t="n">
        <x:v>5</x:v>
      </x:c>
      <x:c r="U23" s="7" t="str">
        <x:v>暦年・暦月</x:v>
      </x:c>
      <x:c r="V23" s="18" t="n">
        <x:v>42885</x:v>
      </x:c>
      <x:c r="W23" s="7" t="str">
        <x:v>SRC-98d450e0f0</x:v>
      </x:c>
      <x:c r="X23" s="7" t="str"/>
      <x:c r="Y23" s="20" t="n">
        <x:v>16</x:v>
      </x:c>
      <x:c r="Z23" s="7" t="str"/>
      <x:c r="AA23" s="7" t="str"/>
      <x:c r="AB23" s="7" t="str"/>
    </x:row>
    <x:row r="24" ht="40.400001525878906" customHeight="1">
      <x:c r="A24" s="7" t="str">
        <x:v>2017年7月25日</x:v>
      </x:c>
      <x:c r="B24" s="7" t="str">
        <x:v>日</x:v>
      </x:c>
      <x:c r="C24" s="7" t="str">
        <x:v>DIG-P06</x:v>
      </x:c>
      <x:c r="D24" s="7" t="str">
        <x:v>データ利活用型スマートシティ推進事業</x:v>
      </x:c>
      <x:c r="E24" s="7" t="str">
        <x:v>高松市が総務省データ利活用型スマートシティの交付決定を受ける。</x:v>
      </x:c>
      <x:c r="F24" s="7" t="str">
        <x:v>交付決定</x:v>
      </x:c>
      <x:c r="G24" s="7" t="str">
        <x:v>政策制度</x:v>
      </x:c>
      <x:c r="H24" s="7" t="str">
        <x:v>総務省
自治体・企業</x:v>
      </x:c>
      <x:c r="I24" s="7" t="str"/>
      <x:c r="J24" s="7" t="str">
        <x:v>DIG-P06</x:v>
      </x:c>
      <x:c r="K24" s="18" t="n">
        <x:v>42949</x:v>
      </x:c>
      <x:c r="L24" s="7" t="str">
        <x:v>2017-08-02</x:v>
      </x:c>
      <x:c r="M24" s="18" t="n">
        <x:v>46326</x:v>
      </x:c>
      <x:c r="N24" s="7" t="str">
        <x:v>S117</x:v>
      </x:c>
      <x:c r="O24" s="7" t="str">
        <x:v>https://www.city.takamatsu.kagawa.jp/kurashi/shichoushitsu/hatsugen/teirei/h29/290802.html</x:v>
      </x:c>
      <x:c r="P24" s="7" t="str"/>
      <x:c r="Q24" s="7" t="str">
        <x:v>EV-11e5fdbed72f</x:v>
      </x:c>
      <x:c r="R24" s="7" t="str">
        <x:v>DIG-P06</x:v>
      </x:c>
      <x:c r="S24" s="20" t="n">
        <x:v>2017</x:v>
      </x:c>
      <x:c r="T24" s="20" t="n">
        <x:v>7</x:v>
      </x:c>
      <x:c r="U24" s="7" t="str">
        <x:v>暦年・暦月</x:v>
      </x:c>
      <x:c r="V24" s="18" t="n">
        <x:v>42941</x:v>
      </x:c>
      <x:c r="W24" s="7" t="str">
        <x:v>SRC-f6967212a7</x:v>
      </x:c>
      <x:c r="X24" s="7" t="str"/>
      <x:c r="Y24" s="20" t="n">
        <x:v>17</x:v>
      </x:c>
      <x:c r="Z24" s="7" t="str"/>
      <x:c r="AA24" s="7" t="str"/>
      <x:c r="AB24" s="7" t="str"/>
    </x:row>
    <x:row r="25" ht="40.400001525878906" customHeight="1">
      <x:c r="A25" s="7" t="str">
        <x:v>2017年8月2日</x:v>
      </x:c>
      <x:c r="B25" s="7" t="str">
        <x:v>日</x:v>
      </x:c>
      <x:c r="C25" s="7" t="str">
        <x:v>DIG-P06</x:v>
      </x:c>
      <x:c r="D25" s="7" t="str">
        <x:v>データ利活用型スマートシティ推進事業</x:v>
      </x:c>
      <x:c r="E25" s="7" t="str">
        <x:v>高松市が防災・観光を入口に交通等へ順次展開する構想を公表。交通実装済とはしない。</x:v>
      </x:c>
      <x:c r="F25" s="7" t="str">
        <x:v>拡張計画</x:v>
      </x:c>
      <x:c r="G25" s="7" t="str">
        <x:v>政策制度</x:v>
      </x:c>
      <x:c r="H25" s="7" t="str">
        <x:v>総務省
自治体・企業</x:v>
      </x:c>
      <x:c r="I25" s="7" t="str"/>
      <x:c r="J25" s="7" t="str">
        <x:v>DIG-P06</x:v>
      </x:c>
      <x:c r="K25" s="18" t="n">
        <x:v>42949</x:v>
      </x:c>
      <x:c r="L25" s="7" t="str">
        <x:v>2017-08-02</x:v>
      </x:c>
      <x:c r="M25" s="18" t="n">
        <x:v>46326</x:v>
      </x:c>
      <x:c r="N25" s="7" t="str">
        <x:v>S117</x:v>
      </x:c>
      <x:c r="O25" s="7" t="str">
        <x:v>https://www.city.takamatsu.kagawa.jp/kurashi/shichoushitsu/hatsugen/teirei/h29/290802.html</x:v>
      </x:c>
      <x:c r="P25" s="7" t="str"/>
      <x:c r="Q25" s="7" t="str">
        <x:v>EV-6a719f3c7194</x:v>
      </x:c>
      <x:c r="R25" s="7" t="str">
        <x:v>DIG-P06</x:v>
      </x:c>
      <x:c r="S25" s="20" t="n">
        <x:v>2017</x:v>
      </x:c>
      <x:c r="T25" s="20" t="n">
        <x:v>8</x:v>
      </x:c>
      <x:c r="U25" s="7" t="str">
        <x:v>暦年・暦月</x:v>
      </x:c>
      <x:c r="V25" s="18" t="n">
        <x:v>42949</x:v>
      </x:c>
      <x:c r="W25" s="7" t="str">
        <x:v>SRC-f6967212a7</x:v>
      </x:c>
      <x:c r="X25" s="7" t="str"/>
      <x:c r="Y25" s="20" t="n">
        <x:v>18</x:v>
      </x:c>
      <x:c r="Z25" s="7" t="str"/>
      <x:c r="AA25" s="7" t="str"/>
      <x:c r="AB25" s="7" t="str"/>
    </x:row>
    <x:row r="26" ht="40.400001525878906" customHeight="1">
      <x:c r="A26" s="7" t="str">
        <x:v>2017年9月2日</x:v>
      </x:c>
      <x:c r="B26" s="7" t="str">
        <x:v>日</x:v>
      </x:c>
      <x:c r="C26" s="7" t="str">
        <x:v>mlit_nishikata</x:v>
      </x:c>
      <x:c r="D26" s="7" t="str">
        <x:v>道の駅にしかた 自動運転</x:v>
      </x:c>
      <x:c r="E26" s="7" t="str">
        <x:v>短期実証開始</x:v>
      </x:c>
      <x:c r="F26" s="7" t="str">
        <x:v>実証</x:v>
      </x:c>
      <x:c r="G26" s="7" t="str">
        <x:v>地域事例</x:v>
      </x:c>
      <x:c r="H26" s="7" t="str">
        <x:v>国土交通省関東地方整備局
国土交通省</x:v>
      </x:c>
      <x:c r="I26" s="7" t="str">
        <x:v>栃木県栃木市</x:v>
      </x:c>
      <x:c r="J26" s="7" t="str">
        <x:v>roadstation</x:v>
      </x:c>
      <x:c r="K26" s="18"/>
      <x:c r="L26" s="7" t="str"/>
      <x:c r="M26" s="18" t="n">
        <x:v>46326</x:v>
      </x:c>
      <x:c r="N26" s="7" t="str">
        <x:v>S196</x:v>
      </x:c>
      <x:c r="O26" s="7" t="str">
        <x:v>https://www.ktr.mlit.go.jp/road/chiiki/road_chiiki00000127.html</x:v>
      </x:c>
      <x:c r="P26" s="7" t="str"/>
      <x:c r="Q26" s="7" t="str">
        <x:v>EV-aec9dadbb1f7</x:v>
      </x:c>
      <x:c r="R26" s="7" t="str">
        <x:v>mlit_nishikata</x:v>
      </x:c>
      <x:c r="S26" s="20" t="n">
        <x:v>2017</x:v>
      </x:c>
      <x:c r="T26" s="20" t="n">
        <x:v>9</x:v>
      </x:c>
      <x:c r="U26" s="7" t="str">
        <x:v>暦年・暦月</x:v>
      </x:c>
      <x:c r="V26" s="18" t="n">
        <x:v>42980</x:v>
      </x:c>
      <x:c r="W26" s="7" t="str">
        <x:v>SRC-1d9f8b59a3</x:v>
      </x:c>
      <x:c r="X26" s="7" t="str"/>
      <x:c r="Y26" s="20" t="n">
        <x:v>19</x:v>
      </x:c>
      <x:c r="Z26" s="7" t="str"/>
      <x:c r="AA26" s="7" t="str"/>
      <x:c r="AB26" s="7" t="str"/>
    </x:row>
    <x:row r="27" ht="40.400001525878906" customHeight="1">
      <x:c r="A27" s="7" t="str">
        <x:v>2017年9月9日</x:v>
      </x:c>
      <x:c r="B27" s="7" t="str">
        <x:v>日</x:v>
      </x:c>
      <x:c r="C27" s="7" t="str">
        <x:v>mlit_nishikata</x:v>
      </x:c>
      <x:c r="D27" s="7" t="str">
        <x:v>道の駅にしかた 自動運転</x:v>
      </x:c>
      <x:c r="E27" s="7" t="str">
        <x:v>公表実験期間の終期</x:v>
      </x:c>
      <x:c r="F27" s="7" t="str">
        <x:v>実証期間終了</x:v>
      </x:c>
      <x:c r="G27" s="7" t="str">
        <x:v>地域事例</x:v>
      </x:c>
      <x:c r="H27" s="7" t="str">
        <x:v>国土交通省関東地方整備局
国土交通省</x:v>
      </x:c>
      <x:c r="I27" s="7" t="str">
        <x:v>栃木県栃木市</x:v>
      </x:c>
      <x:c r="J27" s="7" t="str">
        <x:v>roadstation</x:v>
      </x:c>
      <x:c r="K27" s="18"/>
      <x:c r="L27" s="7" t="str"/>
      <x:c r="M27" s="18" t="n">
        <x:v>46326</x:v>
      </x:c>
      <x:c r="N27" s="7" t="str">
        <x:v>S195</x:v>
      </x:c>
      <x:c r="O27" s="7" t="str">
        <x:v>https://www.ktr.mlit.go.jp/ktr_content/content/000809002.pdf</x:v>
      </x:c>
      <x:c r="P27" s="7" t="str"/>
      <x:c r="Q27" s="7" t="str">
        <x:v>EV-20f1575bcd5d</x:v>
      </x:c>
      <x:c r="R27" s="7" t="str">
        <x:v>mlit_nishikata</x:v>
      </x:c>
      <x:c r="S27" s="20" t="n">
        <x:v>2017</x:v>
      </x:c>
      <x:c r="T27" s="20" t="n">
        <x:v>9</x:v>
      </x:c>
      <x:c r="U27" s="7" t="str">
        <x:v>暦年・暦月</x:v>
      </x:c>
      <x:c r="V27" s="18" t="n">
        <x:v>42987</x:v>
      </x:c>
      <x:c r="W27" s="7" t="str">
        <x:v>SRC-413409abe3</x:v>
      </x:c>
      <x:c r="X27" s="7" t="str"/>
      <x:c r="Y27" s="20" t="n">
        <x:v>20</x:v>
      </x:c>
      <x:c r="Z27" s="7" t="str"/>
      <x:c r="AA27" s="7" t="str"/>
      <x:c r="AB27" s="7" t="str"/>
    </x:row>
    <x:row r="28" ht="54.599998474121094" customHeight="1">
      <x:c r="A28" s="7" t="str">
        <x:v>2017年10月</x:v>
      </x:c>
      <x:c r="B28" s="7" t="str">
        <x:v>月</x:v>
      </x:c>
      <x:c r="C28" s="7" t="str">
        <x:v>DIG-P02</x:v>
      </x:c>
      <x:c r="D28" s="7" t="str">
        <x:v>SIP第1期 自動走行システム</x:v>
      </x:c>
      <x:c r="E28" s="7" t="str">
        <x:v>SIP1公道大規模実証が開始（白書による事後確認）。</x:v>
      </x:c>
      <x:c r="F28" s="7" t="str">
        <x:v>実証開始</x:v>
      </x:c>
      <x:c r="G28" s="7" t="str">
        <x:v>政策制度</x:v>
      </x:c>
      <x:c r="H28" s="7" t="str">
        <x:v>内閣府CSTI
NEDO
警察庁・総務省・経済産業省・国土交通省</x:v>
      </x:c>
      <x:c r="I28" s="7" t="str"/>
      <x:c r="J28" s="7" t="str">
        <x:v>DIG-P02</x:v>
      </x:c>
      <x:c r="K28" s="18" t="str">
        <x:v>2018</x:v>
      </x:c>
      <x:c r="L28" s="7" t="str">
        <x:v>2018</x:v>
      </x:c>
      <x:c r="M28" s="18" t="n">
        <x:v>46326</x:v>
      </x:c>
      <x:c r="N28" s="7" t="str">
        <x:v>S335</x:v>
      </x:c>
      <x:c r="O28" s="7" t="str">
        <x:v>https://www8.cao.go.jp/koutu/taisaku/h30kou_haku/zenbun/genkyo/feature/feature_02.html</x:v>
      </x:c>
      <x:c r="P28" s="7" t="str"/>
      <x:c r="Q28" s="7" t="str">
        <x:v>EV-5e1607e166d9</x:v>
      </x:c>
      <x:c r="R28" s="7" t="str">
        <x:v>DIG-P02</x:v>
      </x:c>
      <x:c r="S28" s="20" t="n">
        <x:v>2017</x:v>
      </x:c>
      <x:c r="T28" s="20" t="n">
        <x:v>10</x:v>
      </x:c>
      <x:c r="U28" s="7" t="str">
        <x:v>暦年・暦月</x:v>
      </x:c>
      <x:c r="V28" s="18"/>
      <x:c r="W28" s="7" t="str">
        <x:v>SRC-a57cb5713e</x:v>
      </x:c>
      <x:c r="X28" s="7" t="str"/>
      <x:c r="Y28" s="20" t="n">
        <x:v>21</x:v>
      </x:c>
      <x:c r="Z28" s="7" t="str"/>
      <x:c r="AA28" s="7" t="str"/>
      <x:c r="AB28" s="7" t="str"/>
    </x:row>
    <x:row r="29" ht="111.4000015258789" customHeight="1">
      <x:c r="A29" s="7" t="str">
        <x:v>2017年10月</x:v>
      </x:c>
      <x:c r="B29" s="7" t="str">
        <x:v>月</x:v>
      </x:c>
      <x:c r="C29" s="7" t="str">
        <x:v>DIG-C01</x:v>
      </x:c>
      <x:c r="D29" s="7" t="str">
        <x:v>東京臨海部SIP自動運転実証</x:v>
      </x:c>
      <x:c r="E29" s="7" t="str">
        <x:v>SIP1大規模実証開始。ここは東京臨海部に限らない前史として区別。</x:v>
      </x:c>
      <x:c r="F29" s="7" t="str">
        <x:v>前史実証開始</x:v>
      </x:c>
      <x:c r="G29" s="7" t="str">
        <x:v>地域事例</x:v>
      </x:c>
      <x:c r="H29" s="7" t="str">
        <x:v>内閣府
警察庁等
内閣府CSTI
NEDO
警察庁・総務省・経済産業省・国土交通省
関係省庁
内閣府・総務省・デジタル庁等</x:v>
      </x:c>
      <x:c r="I29" s="7" t="str">
        <x:v>東京都臨海副都心・羽田・首都高速</x:v>
      </x:c>
      <x:c r="J29" s="7" t="str">
        <x:v>DIG-P02
DIG-P03</x:v>
      </x:c>
      <x:c r="K29" s="18" t="str">
        <x:v>2018</x:v>
      </x:c>
      <x:c r="L29" s="7" t="str">
        <x:v>2018</x:v>
      </x:c>
      <x:c r="M29" s="18" t="n">
        <x:v>46326</x:v>
      </x:c>
      <x:c r="N29" s="7" t="str">
        <x:v>S335</x:v>
      </x:c>
      <x:c r="O29" s="7" t="str">
        <x:v>https://www8.cao.go.jp/koutu/taisaku/h30kou_haku/zenbun/genkyo/feature/feature_02.html</x:v>
      </x:c>
      <x:c r="P29" s="7" t="str"/>
      <x:c r="Q29" s="7" t="str">
        <x:v>EV-b2892f8a5f6e</x:v>
      </x:c>
      <x:c r="R29" s="7" t="str">
        <x:v>DIG-C01</x:v>
      </x:c>
      <x:c r="S29" s="20" t="n">
        <x:v>2017</x:v>
      </x:c>
      <x:c r="T29" s="20" t="n">
        <x:v>10</x:v>
      </x:c>
      <x:c r="U29" s="7" t="str">
        <x:v>暦年・暦月</x:v>
      </x:c>
      <x:c r="V29" s="18"/>
      <x:c r="W29" s="7" t="str">
        <x:v>SRC-a57cb5713e</x:v>
      </x:c>
      <x:c r="X29" s="7" t="str"/>
      <x:c r="Y29" s="20" t="n">
        <x:v>22</x:v>
      </x:c>
      <x:c r="Z29" s="7" t="str"/>
      <x:c r="AA29" s="7" t="str"/>
      <x:c r="AB29" s="7" t="str"/>
    </x:row>
    <x:row r="30" ht="40.400001525878906" customHeight="1">
      <x:c r="A30" s="7" t="str">
        <x:v>2017年11月</x:v>
      </x:c>
      <x:c r="B30" s="7" t="str">
        <x:v>月</x:v>
      </x:c>
      <x:c r="C30" s="7" t="str">
        <x:v>mlit_iinan</x:v>
      </x:c>
      <x:c r="D30" s="7" t="str">
        <x:v>赤来高原・赤名地区 自動運転赤名線</x:v>
      </x:c>
      <x:c r="E30" s="7" t="str">
        <x:v>道の駅赤来高原短期実験</x:v>
      </x:c>
      <x:c r="F30" s="7" t="str">
        <x:v>実証</x:v>
      </x:c>
      <x:c r="G30" s="7" t="str">
        <x:v>地域事例</x:v>
      </x:c>
      <x:c r="H30" s="7" t="str">
        <x:v>国土交通省・SIP
国土交通省</x:v>
      </x:c>
      <x:c r="I30" s="7" t="str">
        <x:v>島根県飯南町</x:v>
      </x:c>
      <x:c r="J30" s="7" t="str">
        <x:v>roadstation</x:v>
      </x:c>
      <x:c r="K30" s="18" t="str">
        <x:v>2021-05</x:v>
      </x:c>
      <x:c r="L30" s="7" t="str">
        <x:v>2021-05</x:v>
      </x:c>
      <x:c r="M30" s="18" t="n">
        <x:v>46326</x:v>
      </x:c>
      <x:c r="N30" s="7" t="str">
        <x:v>S295</x:v>
      </x:c>
      <x:c r="O30" s="7" t="str">
        <x:v>https://www.nilim.go.jp/lab/bcg/siryou/tnn/tnn1161pdf/ks1161.pdf</x:v>
      </x:c>
      <x:c r="P30" s="7" t="str"/>
      <x:c r="Q30" s="7" t="str">
        <x:v>EV-26aa85f7193f</x:v>
      </x:c>
      <x:c r="R30" s="7" t="str">
        <x:v>mlit_iinan</x:v>
      </x:c>
      <x:c r="S30" s="20" t="n">
        <x:v>2017</x:v>
      </x:c>
      <x:c r="T30" s="20" t="n">
        <x:v>11</x:v>
      </x:c>
      <x:c r="U30" s="7" t="str">
        <x:v>暦年・暦月</x:v>
      </x:c>
      <x:c r="V30" s="18"/>
      <x:c r="W30" s="7" t="str">
        <x:v>SRC-63f5ab671c</x:v>
      </x:c>
      <x:c r="X30" s="7" t="str"/>
      <x:c r="Y30" s="20" t="n">
        <x:v>23</x:v>
      </x:c>
      <x:c r="Z30" s="7" t="str"/>
      <x:c r="AA30" s="7" t="str"/>
      <x:c r="AB30" s="7" t="str"/>
    </x:row>
    <x:row r="31" ht="40.400001525878906" customHeight="1">
      <x:c r="A31" s="7" t="str">
        <x:v>2017年11月</x:v>
      </x:c>
      <x:c r="B31" s="7" t="str">
        <x:v>月</x:v>
      </x:c>
      <x:c r="C31" s="7" t="str">
        <x:v>mlit_hitachiota</x:v>
      </x:c>
      <x:c r="D31" s="7" t="str">
        <x:v>道の駅ひたちおおた 自動運転・貨客混載</x:v>
      </x:c>
      <x:c r="E31" s="7" t="str">
        <x:v>短期実験・貨客接続</x:v>
      </x:c>
      <x:c r="F31" s="7" t="str">
        <x:v>実証</x:v>
      </x:c>
      <x:c r="G31" s="7" t="str">
        <x:v>地域事例</x:v>
      </x:c>
      <x:c r="H31" s="7" t="str">
        <x:v>国土交通省関東地方整備局
国土交通省</x:v>
      </x:c>
      <x:c r="I31" s="7" t="str">
        <x:v>茨城県常陸太田市</x:v>
      </x:c>
      <x:c r="J31" s="7" t="str"/>
      <x:c r="K31" s="18"/>
      <x:c r="L31" s="7" t="str"/>
      <x:c r="M31" s="18" t="n">
        <x:v>46326</x:v>
      </x:c>
      <x:c r="N31" s="7" t="str">
        <x:v>S195</x:v>
      </x:c>
      <x:c r="O31" s="7" t="str">
        <x:v>https://www.ktr.mlit.go.jp/ktr_content/content/000809002.pdf</x:v>
      </x:c>
      <x:c r="P31" s="7" t="str"/>
      <x:c r="Q31" s="7" t="str">
        <x:v>EV-4b5574279415</x:v>
      </x:c>
      <x:c r="R31" s="7" t="str">
        <x:v>mlit_hitachiota</x:v>
      </x:c>
      <x:c r="S31" s="20" t="n">
        <x:v>2017</x:v>
      </x:c>
      <x:c r="T31" s="20" t="n">
        <x:v>11</x:v>
      </x:c>
      <x:c r="U31" s="7" t="str">
        <x:v>暦年・暦月</x:v>
      </x:c>
      <x:c r="V31" s="18"/>
      <x:c r="W31" s="7" t="str">
        <x:v>SRC-413409abe3</x:v>
      </x:c>
      <x:c r="X31" s="7" t="str"/>
      <x:c r="Y31" s="20" t="n">
        <x:v>24</x:v>
      </x:c>
      <x:c r="Z31" s="7" t="str"/>
      <x:c r="AA31" s="7" t="str"/>
      <x:c r="AB31" s="7" t="str"/>
    </x:row>
    <x:row r="32" ht="40.400001525878906" customHeight="1">
      <x:c r="A32" s="7" t="str">
        <x:v>2017年11月11日</x:v>
      </x:c>
      <x:c r="B32" s="7" t="str">
        <x:v>日</x:v>
      </x:c>
      <x:c r="C32" s="7" t="str">
        <x:v>mlit_okueigenji</x:v>
      </x:c>
      <x:c r="D32" s="7" t="str">
        <x:v>奥永源寺渓流の里 自動運転</x:v>
      </x:c>
      <x:c r="E32" s="7" t="str">
        <x:v>短期実験開始（17日まで）</x:v>
      </x:c>
      <x:c r="F32" s="7" t="str">
        <x:v>実証</x:v>
      </x:c>
      <x:c r="G32" s="7" t="str">
        <x:v>地域事例</x:v>
      </x:c>
      <x:c r="H32" s="7" t="str">
        <x:v>国土交通省近畿地方整備局
国土交通省</x:v>
      </x:c>
      <x:c r="I32" s="7" t="str">
        <x:v>滋賀県東近江市</x:v>
      </x:c>
      <x:c r="J32" s="7" t="str">
        <x:v>roadstation</x:v>
      </x:c>
      <x:c r="K32" s="18" t="n">
        <x:v>43041</x:v>
      </x:c>
      <x:c r="L32" s="7" t="str">
        <x:v>2017-11-02</x:v>
      </x:c>
      <x:c r="M32" s="18" t="n">
        <x:v>46326</x:v>
      </x:c>
      <x:c r="N32" s="7" t="str">
        <x:v>S189</x:v>
      </x:c>
      <x:c r="O32" s="7" t="str">
        <x:v>https://www.kkr.mlit.go.jp/news/top/press/2017/20171102-4.html</x:v>
      </x:c>
      <x:c r="P32" s="7" t="str"/>
      <x:c r="Q32" s="7" t="str">
        <x:v>EV-72a94529e783</x:v>
      </x:c>
      <x:c r="R32" s="7" t="str">
        <x:v>mlit_okueigenji</x:v>
      </x:c>
      <x:c r="S32" s="20" t="n">
        <x:v>2017</x:v>
      </x:c>
      <x:c r="T32" s="20" t="n">
        <x:v>11</x:v>
      </x:c>
      <x:c r="U32" s="7" t="str">
        <x:v>暦年・暦月</x:v>
      </x:c>
      <x:c r="V32" s="18" t="n">
        <x:v>43050</x:v>
      </x:c>
      <x:c r="W32" s="7" t="str">
        <x:v>SRC-ff582e59bf</x:v>
      </x:c>
      <x:c r="X32" s="7" t="str"/>
      <x:c r="Y32" s="20" t="n">
        <x:v>25</x:v>
      </x:c>
      <x:c r="Z32" s="7" t="str"/>
      <x:c r="AA32" s="7" t="str"/>
      <x:c r="AB32" s="7" t="str"/>
    </x:row>
    <x:row r="33" ht="139.8000030517578" customHeight="1">
      <x:c r="A33" s="7" t="str">
        <x:v>2017年12月</x:v>
      </x:c>
      <x:c r="B33" s="7" t="str">
        <x:v>月</x:v>
      </x:c>
      <x:c r="C33" s="7" t="str">
        <x:v>mlit_kamikoani</x:v>
      </x:c>
      <x:c r="D33" s="7" t="str">
        <x:v>道の駅かみこあに 自動運転サービス</x:v>
      </x:c>
      <x:c r="E33" s="7" t="str">
        <x:v>短期実験</x:v>
      </x:c>
      <x:c r="F33" s="7" t="str">
        <x:v>実証</x:v>
      </x:c>
      <x:c r="G33" s="7" t="str">
        <x:v>地域事例</x:v>
      </x:c>
      <x:c r="H33" s="7" t="str">
        <x:v>国土交通省・SIP
国土交通省道路局
内閣府SIP2
内閣府CSTI
NEDO
関係省庁
国土交通省
内閣府・総務省・デジタル庁等
横断検証（個別所管は資料参照）</x:v>
      </x:c>
      <x:c r="I33" s="7" t="str">
        <x:v>秋田県上小阿仁村</x:v>
      </x:c>
      <x:c r="J33" s="7" t="str">
        <x:v>roadstation</x:v>
      </x:c>
      <x:c r="K33" s="18" t="str">
        <x:v>2021-05</x:v>
      </x:c>
      <x:c r="L33" s="7" t="str">
        <x:v>2021-05</x:v>
      </x:c>
      <x:c r="M33" s="18" t="n">
        <x:v>46326</x:v>
      </x:c>
      <x:c r="N33" s="7" t="str">
        <x:v>S295</x:v>
      </x:c>
      <x:c r="O33" s="7" t="str">
        <x:v>https://www.nilim.go.jp/lab/bcg/siryou/tnn/tnn1161pdf/ks1161.pdf</x:v>
      </x:c>
      <x:c r="P33" s="7" t="str"/>
      <x:c r="Q33" s="7" t="str">
        <x:v>EV-37d8166793d2</x:v>
      </x:c>
      <x:c r="R33" s="7" t="str">
        <x:v>mlit_kamikoani</x:v>
      </x:c>
      <x:c r="S33" s="20" t="n">
        <x:v>2017</x:v>
      </x:c>
      <x:c r="T33" s="20" t="n">
        <x:v>12</x:v>
      </x:c>
      <x:c r="U33" s="7" t="str">
        <x:v>暦年・暦月</x:v>
      </x:c>
      <x:c r="V33" s="18"/>
      <x:c r="W33" s="7" t="str">
        <x:v>SRC-63f5ab671c</x:v>
      </x:c>
      <x:c r="X33" s="7" t="str"/>
      <x:c r="Y33" s="20" t="n">
        <x:v>26</x:v>
      </x:c>
      <x:c r="Z33" s="7" t="str"/>
      <x:c r="AA33" s="7" t="str"/>
      <x:c r="AB33" s="7" t="str"/>
    </x:row>
    <x:row r="34" ht="30" customHeight="1">
      <x:c r="A34" s="7" t="str">
        <x:v>2017年12月18日</x:v>
      </x:c>
      <x:c r="B34" s="7" t="str">
        <x:v>日</x:v>
      </x:c>
      <x:c r="C34" s="7" t="str">
        <x:v>meti_wajima</x:v>
      </x:c>
      <x:c r="D34" s="7" t="str">
        <x:v>輪島ラストマイル遠隔自動運転</x:v>
      </x:c>
      <x:c r="E34" s="7" t="str">
        <x:v>公道実証開始</x:v>
      </x:c>
      <x:c r="F34" s="7" t="str">
        <x:v>実証</x:v>
      </x:c>
      <x:c r="G34" s="7" t="str">
        <x:v>地域事例</x:v>
      </x:c>
      <x:c r="H34" s="7" t="str">
        <x:v>経済産業省</x:v>
      </x:c>
      <x:c r="I34" s="7" t="str">
        <x:v>石川県輪島市</x:v>
      </x:c>
      <x:c r="J34" s="7" t="str">
        <x:v>lastmile</x:v>
      </x:c>
      <x:c r="K34" s="18" t="n">
        <x:v>43082</x:v>
      </x:c>
      <x:c r="L34" s="7" t="str">
        <x:v>2017-12-13</x:v>
      </x:c>
      <x:c r="M34" s="18" t="n">
        <x:v>46326</x:v>
      </x:c>
      <x:c r="N34" s="7" t="str">
        <x:v>S057</x:v>
      </x:c>
      <x:c r="O34" s="7" t="str">
        <x:v>https://www.aist.go.jp/aist_j/news/announce/pr20171213.html</x:v>
      </x:c>
      <x:c r="P34" s="7" t="str"/>
      <x:c r="Q34" s="7" t="str">
        <x:v>EV-858352f9b0e6</x:v>
      </x:c>
      <x:c r="R34" s="7" t="str">
        <x:v>meti_wajima</x:v>
      </x:c>
      <x:c r="S34" s="20" t="n">
        <x:v>2017</x:v>
      </x:c>
      <x:c r="T34" s="20" t="n">
        <x:v>12</x:v>
      </x:c>
      <x:c r="U34" s="7" t="str">
        <x:v>暦年・暦月</x:v>
      </x:c>
      <x:c r="V34" s="18" t="n">
        <x:v>43087</x:v>
      </x:c>
      <x:c r="W34" s="7" t="str">
        <x:v>SRC-e81ab0e964</x:v>
      </x:c>
      <x:c r="X34" s="7" t="str"/>
      <x:c r="Y34" s="20" t="n">
        <x:v>27</x:v>
      </x:c>
      <x:c r="Z34" s="7" t="str"/>
      <x:c r="AA34" s="7" t="str"/>
      <x:c r="AB34" s="7" t="str"/>
    </x:row>
    <x:row r="35" ht="40.400001525878906" customHeight="1">
      <x:c r="A35" s="7" t="str">
        <x:v>2018年</x:v>
      </x:c>
      <x:c r="B35" s="7" t="str">
        <x:v>年</x:v>
      </x:c>
      <x:c r="C35" s="7" t="str">
        <x:v>meti_ina</x:v>
      </x:c>
      <x:c r="D35" s="7" t="str">
        <x:v>ゆうあいマーケット</x:v>
      </x:c>
      <x:c r="E35" s="7" t="str">
        <x:v>市・KDDI協定</x:v>
      </x:c>
      <x:c r="F35" s="7" t="str">
        <x:v>体制整備</x:v>
      </x:c>
      <x:c r="G35" s="7" t="str">
        <x:v>地域事例</x:v>
      </x:c>
      <x:c r="H35" s="7" t="str">
        <x:v>経済産業省</x:v>
      </x:c>
      <x:c r="I35" s="7" t="str">
        <x:v>長野県伊那市</x:v>
      </x:c>
      <x:c r="J35" s="7" t="str">
        <x:v>dress</x:v>
      </x:c>
      <x:c r="K35" s="18" t="n">
        <x:v>44225</x:v>
      </x:c>
      <x:c r="L35" s="7" t="str">
        <x:v>2021-01-29</x:v>
      </x:c>
      <x:c r="M35" s="18" t="n">
        <x:v>46326</x:v>
      </x:c>
      <x:c r="N35" s="7" t="str">
        <x:v>S180</x:v>
      </x:c>
      <x:c r="O35" s="7" t="str">
        <x:v>https://www.inacity.jp/shisei/inashiseisakusesaku/shinsangyougijutu/dronekatuyou/174kija20210129.html</x:v>
      </x:c>
      <x:c r="P35" s="7" t="str"/>
      <x:c r="Q35" s="7" t="str">
        <x:v>EV-1b1bc241cadd</x:v>
      </x:c>
      <x:c r="R35" s="7" t="str">
        <x:v>meti_ina</x:v>
      </x:c>
      <x:c r="S35" s="20" t="n">
        <x:v>2018</x:v>
      </x:c>
      <x:c r="T35" s="20" t="n">
        <x:v>1</x:v>
      </x:c>
      <x:c r="U35" s="7" t="str">
        <x:v>暦年・暦月</x:v>
      </x:c>
      <x:c r="V35" s="18"/>
      <x:c r="W35" s="7" t="str">
        <x:v>SRC-61c177a334</x:v>
      </x:c>
      <x:c r="X35" s="7" t="str"/>
      <x:c r="Y35" s="20" t="n">
        <x:v>28</x:v>
      </x:c>
      <x:c r="Z35" s="7" t="str"/>
      <x:c r="AA35" s="7" t="str"/>
      <x:c r="AB35" s="7" t="str"/>
    </x:row>
    <x:row r="36" ht="97.19999694824219" customHeight="1">
      <x:c r="A36" s="7" t="str">
        <x:v>2018年</x:v>
      </x:c>
      <x:c r="B36" s="7" t="str">
        <x:v>年</x:v>
      </x:c>
      <x:c r="C36" s="7" t="str"/>
      <x:c r="D36" s="7" t="str">
        <x:v>国土交通省の政策動向</x:v>
      </x:c>
      <x:c r="E36" s="7" t="str">
        <x:v>道の駅長期実験へ。グリスロ実証開始。鉄道自動運転検討、船舶3技術実証、空港・CONPAS等へモード横断展開。</x:v>
      </x:c>
      <x:c r="F36" s="7" t="str"/>
      <x:c r="G36" s="7" t="str">
        <x:v>政策制度</x:v>
      </x:c>
      <x:c r="H36" s="7" t="str">
        <x:v>国土交通省</x:v>
      </x:c>
      <x:c r="I36" s="7" t="str"/>
      <x:c r="J36" s="7" t="str"/>
      <x:c r="K36" s="18"/>
      <x:c r="L36" s="7" t="str"/>
      <x:c r="M36" s="18" t="n">
        <x:v>46326</x:v>
      </x:c>
      <x:c r="N36" s="7" t="str">
        <x:v>S258
S273
S232
S285
S301</x:v>
      </x:c>
      <x:c r="O36" s="7" t="str">
        <x:v>https://www.mlit.go.jp/sogoseisaku/environment/sosei_environment_fr_000152.html</x:v>
      </x:c>
      <x:c r="P36" s="7" t="str"/>
      <x:c r="Q36" s="7" t="str">
        <x:v>EV-df8f245d8e17</x:v>
      </x:c>
      <x:c r="R36" s="7" t="str">
        <x:v>mlit</x:v>
      </x:c>
      <x:c r="S36" s="20" t="n">
        <x:v>2018</x:v>
      </x:c>
      <x:c r="T36" s="20" t="n">
        <x:v>1</x:v>
      </x:c>
      <x:c r="U36" s="7" t="str">
        <x:v>暦年・暦月</x:v>
      </x:c>
      <x:c r="V36" s="18"/>
      <x:c r="W36" s="7" t="str">
        <x:v>SRC-cab746b9fe
SRC-1a249ce887
SRC-717c24acf5
SRC-8065d68bf7
SRC-13881242c6</x:v>
      </x:c>
      <x:c r="X36" s="7" t="str">
        <x:v>https://www.mlit.go.jp/tetudo/tetudo_fr1_000058.html
https://www.pa.hrr.mlit.go.jp/file/kouwanshinkou/butsuryu/butsuryu-kanri/upload/R2_08.pdf
https://www.mlit.go.jp/maritime/maritime_fr7_000041.html
https://www.narita-airport.jp/ja/company/media-center/news/20181204-jidousoukou/</x:v>
      </x:c>
      <x:c r="Y36" s="20" t="n">
        <x:v>29</x:v>
      </x:c>
      <x:c r="Z36" s="7" t="str"/>
      <x:c r="AA36" s="7" t="str"/>
      <x:c r="AB36" s="7" t="str"/>
    </x:row>
    <x:row r="37" ht="30" customHeight="1">
      <x:c r="A37" s="7" t="str">
        <x:v>2018年</x:v>
      </x:c>
      <x:c r="B37" s="7" t="str">
        <x:v>年</x:v>
      </x:c>
      <x:c r="C37" s="7" t="str">
        <x:v>V-C06</x:v>
      </x:c>
      <x:c r="D37" s="7" t="str">
        <x:v>チョイソコとよあけ</x:v>
      </x:c>
      <x:c r="E37" s="7" t="str">
        <x:v>豊明市で開始</x:v>
      </x:c>
      <x:c r="F37" s="7" t="str">
        <x:v>実証</x:v>
      </x:c>
      <x:c r="G37" s="7" t="str">
        <x:v>地域事例</x:v>
      </x:c>
      <x:c r="H37" s="7" t="str">
        <x:v>横断検証（個別所管は資料参照）</x:v>
      </x:c>
      <x:c r="I37" s="7" t="str">
        <x:v>愛知県豊明市</x:v>
      </x:c>
      <x:c r="J37" s="7" t="str"/>
      <x:c r="K37" s="18"/>
      <x:c r="L37" s="7" t="str"/>
      <x:c r="M37" s="18" t="n">
        <x:v>46326</x:v>
      </x:c>
      <x:c r="N37" s="7" t="str">
        <x:v>S118</x:v>
      </x:c>
      <x:c r="O37" s="7" t="str">
        <x:v>https://www.city.toyoake.lg.jp/6461.htm</x:v>
      </x:c>
      <x:c r="P37" s="7" t="str"/>
      <x:c r="Q37" s="7" t="str">
        <x:v>EV-e17be04ae46b</x:v>
      </x:c>
      <x:c r="R37" s="7" t="str">
        <x:v>V-C06</x:v>
      </x:c>
      <x:c r="S37" s="20" t="n">
        <x:v>2018</x:v>
      </x:c>
      <x:c r="T37" s="20" t="n">
        <x:v>1</x:v>
      </x:c>
      <x:c r="U37" s="7" t="str">
        <x:v>暦年・暦月</x:v>
      </x:c>
      <x:c r="V37" s="18"/>
      <x:c r="W37" s="7" t="str">
        <x:v>SRC-8276e606e9</x:v>
      </x:c>
      <x:c r="X37" s="7" t="str"/>
      <x:c r="Y37" s="20" t="n">
        <x:v>30</x:v>
      </x:c>
      <x:c r="Z37" s="7" t="str"/>
      <x:c r="AA37" s="7" t="str"/>
      <x:c r="AB37" s="7" t="str"/>
    </x:row>
    <x:row r="38" ht="40.400001525878906" customHeight="1">
      <x:c r="A38" s="7" t="str">
        <x:v>2018年1月29日</x:v>
      </x:c>
      <x:c r="B38" s="7" t="str">
        <x:v>日</x:v>
      </x:c>
      <x:c r="C38" s="7" t="str">
        <x:v>mlit_conpas</x:v>
      </x:c>
      <x:c r="D38" s="7" t="str">
        <x:v>横浜港CONPAS</x:v>
      </x:c>
      <x:c r="E38" s="7" t="str">
        <x:v>南本牧で第1回試験開始</x:v>
      </x:c>
      <x:c r="F38" s="7" t="str">
        <x:v>実証</x:v>
      </x:c>
      <x:c r="G38" s="7" t="str">
        <x:v>地域事例</x:v>
      </x:c>
      <x:c r="H38" s="7" t="str">
        <x:v>国土交通省港湾局・関東地方整備局
国土交通省</x:v>
      </x:c>
      <x:c r="I38" s="7" t="str">
        <x:v>神奈川県横浜港南本牧・本牧</x:v>
      </x:c>
      <x:c r="J38" s="7" t="str">
        <x:v>portdx</x:v>
      </x:c>
      <x:c r="K38" s="18" t="str">
        <x:v>2021-03</x:v>
      </x:c>
      <x:c r="L38" s="7" t="str">
        <x:v>2021-03</x:v>
      </x:c>
      <x:c r="M38" s="18" t="n">
        <x:v>46326</x:v>
      </x:c>
      <x:c r="N38" s="7" t="str">
        <x:v>S301</x:v>
      </x:c>
      <x:c r="O38" s="7" t="str">
        <x:v>https://www.pa.hrr.mlit.go.jp/file/kouwanshinkou/butsuryu/butsuryu-kanri/upload/R2_08.pdf</x:v>
      </x:c>
      <x:c r="P38" s="7" t="str"/>
      <x:c r="Q38" s="7" t="str">
        <x:v>EV-4aad2fb9c9ff</x:v>
      </x:c>
      <x:c r="R38" s="7" t="str">
        <x:v>mlit_conpas</x:v>
      </x:c>
      <x:c r="S38" s="20" t="n">
        <x:v>2018</x:v>
      </x:c>
      <x:c r="T38" s="20" t="n">
        <x:v>1</x:v>
      </x:c>
      <x:c r="U38" s="7" t="str">
        <x:v>暦年・暦月</x:v>
      </x:c>
      <x:c r="V38" s="18" t="n">
        <x:v>43129</x:v>
      </x:c>
      <x:c r="W38" s="7" t="str">
        <x:v>SRC-13881242c6</x:v>
      </x:c>
      <x:c r="X38" s="7" t="str"/>
      <x:c r="Y38" s="20" t="n">
        <x:v>31</x:v>
      </x:c>
      <x:c r="Z38" s="7" t="str"/>
      <x:c r="AA38" s="7" t="str"/>
      <x:c r="AB38" s="7" t="str"/>
    </x:row>
    <x:row r="39" ht="30" customHeight="1">
      <x:c r="A39" s="7" t="str">
        <x:v>2018年2月</x:v>
      </x:c>
      <x:c r="B39" s="7" t="str">
        <x:v>月</x:v>
      </x:c>
      <x:c r="C39" s="7" t="str">
        <x:v>meti_chatan</x:v>
      </x:c>
      <x:c r="D39" s="7" t="str">
        <x:v>北谷町海岸沿い遠隔カート</x:v>
      </x:c>
      <x:c r="E39" s="7" t="str">
        <x:v>初期実証</x:v>
      </x:c>
      <x:c r="F39" s="7" t="str">
        <x:v>実証</x:v>
      </x:c>
      <x:c r="G39" s="7" t="str">
        <x:v>地域事例</x:v>
      </x:c>
      <x:c r="H39" s="7" t="str">
        <x:v>経済産業省</x:v>
      </x:c>
      <x:c r="I39" s="7" t="str">
        <x:v>沖縄県北谷町</x:v>
      </x:c>
      <x:c r="J39" s="7" t="str">
        <x:v>lastmile</x:v>
      </x:c>
      <x:c r="K39" s="18"/>
      <x:c r="L39" s="7" t="str"/>
      <x:c r="M39" s="18" t="n">
        <x:v>46326</x:v>
      </x:c>
      <x:c r="N39" s="7" t="str">
        <x:v>S224</x:v>
      </x:c>
      <x:c r="O39" s="7" t="str">
        <x:v>https://www.mlit.go.jp/common/001263901.pdf</x:v>
      </x:c>
      <x:c r="P39" s="7" t="str"/>
      <x:c r="Q39" s="7" t="str">
        <x:v>EV-8a06ce586e27</x:v>
      </x:c>
      <x:c r="R39" s="7" t="str">
        <x:v>meti_chatan</x:v>
      </x:c>
      <x:c r="S39" s="20" t="n">
        <x:v>2018</x:v>
      </x:c>
      <x:c r="T39" s="20" t="n">
        <x:v>2</x:v>
      </x:c>
      <x:c r="U39" s="7" t="str">
        <x:v>暦年・暦月</x:v>
      </x:c>
      <x:c r="V39" s="18"/>
      <x:c r="W39" s="7" t="str">
        <x:v>SRC-449f8104ca</x:v>
      </x:c>
      <x:c r="X39" s="7" t="str"/>
      <x:c r="Y39" s="20" t="n">
        <x:v>32</x:v>
      </x:c>
      <x:c r="Z39" s="7" t="str"/>
      <x:c r="AA39" s="7" t="str"/>
      <x:c r="AB39" s="7" t="str"/>
    </x:row>
    <x:row r="40" ht="40.400001525878906" customHeight="1">
      <x:c r="A40" s="7" t="str">
        <x:v>2018年2月18日</x:v>
      </x:c>
      <x:c r="B40" s="7" t="str">
        <x:v>日</x:v>
      </x:c>
      <x:c r="C40" s="7" t="str">
        <x:v>mlit_miyama</x:v>
      </x:c>
      <x:c r="D40" s="7" t="str">
        <x:v>みやま市山川 自動運転</x:v>
      </x:c>
      <x:c r="E40" s="7" t="str">
        <x:v>短期実験開始（24日まで）</x:v>
      </x:c>
      <x:c r="F40" s="7" t="str">
        <x:v>実証</x:v>
      </x:c>
      <x:c r="G40" s="7" t="str">
        <x:v>地域事例</x:v>
      </x:c>
      <x:c r="H40" s="7" t="str">
        <x:v>国土交通省・SIP
国土交通省</x:v>
      </x:c>
      <x:c r="I40" s="7" t="str">
        <x:v>福岡県みやま市</x:v>
      </x:c>
      <x:c r="J40" s="7" t="str">
        <x:v>roadstation</x:v>
      </x:c>
      <x:c r="K40" s="18"/>
      <x:c r="L40" s="7" t="str"/>
      <x:c r="M40" s="18" t="n">
        <x:v>46326</x:v>
      </x:c>
      <x:c r="N40" s="7" t="str">
        <x:v>S093</x:v>
      </x:c>
      <x:c r="O40" s="7" t="str">
        <x:v>https://www.city.miyama.lg.jp/s068/kurashi/giandaiichigo.pdf</x:v>
      </x:c>
      <x:c r="P40" s="7" t="str"/>
      <x:c r="Q40" s="7" t="str">
        <x:v>EV-c1ee0de62a33</x:v>
      </x:c>
      <x:c r="R40" s="7" t="str">
        <x:v>mlit_miyama</x:v>
      </x:c>
      <x:c r="S40" s="20" t="n">
        <x:v>2018</x:v>
      </x:c>
      <x:c r="T40" s="20" t="n">
        <x:v>2</x:v>
      </x:c>
      <x:c r="U40" s="7" t="str">
        <x:v>暦年・暦月</x:v>
      </x:c>
      <x:c r="V40" s="18" t="n">
        <x:v>43149</x:v>
      </x:c>
      <x:c r="W40" s="7" t="str">
        <x:v>SRC-f2fb94be7b</x:v>
      </x:c>
      <x:c r="X40" s="7" t="str"/>
      <x:c r="Y40" s="20" t="n">
        <x:v>33</x:v>
      </x:c>
      <x:c r="Z40" s="7" t="str"/>
      <x:c r="AA40" s="7" t="str"/>
      <x:c r="AB40" s="7" t="str"/>
    </x:row>
    <x:row r="41" ht="30" customHeight="1">
      <x:c r="A41" s="7" t="str">
        <x:v>2018年2月20日</x:v>
      </x:c>
      <x:c r="B41" s="7" t="str">
        <x:v>日</x:v>
      </x:c>
      <x:c r="C41" s="7" t="str">
        <x:v>mlit_miyazaki</x:v>
      </x:c>
      <x:c r="D41" s="7" t="str">
        <x:v>西都–西米良 貨客混載共同輸送</x:v>
      </x:c>
      <x:c r="E41" s="7" t="str">
        <x:v>3社共同輸送開始</x:v>
      </x:c>
      <x:c r="F41" s="7" t="str">
        <x:v>実装開始</x:v>
      </x:c>
      <x:c r="G41" s="7" t="str">
        <x:v>地域事例</x:v>
      </x:c>
      <x:c r="H41" s="7" t="str">
        <x:v>国土交通省</x:v>
      </x:c>
      <x:c r="I41" s="7" t="str">
        <x:v>宮崎県西都市・西米良村</x:v>
      </x:c>
      <x:c r="J41" s="7" t="str">
        <x:v>cargo_mix</x:v>
      </x:c>
      <x:c r="K41" s="18" t="n">
        <x:v>43151</x:v>
      </x:c>
      <x:c r="L41" s="7" t="str">
        <x:v>2018-02-20</x:v>
      </x:c>
      <x:c r="M41" s="18" t="n">
        <x:v>46326</x:v>
      </x:c>
      <x:c r="N41" s="7" t="str">
        <x:v>S250</x:v>
      </x:c>
      <x:c r="O41" s="7" t="str">
        <x:v>https://www.mlit.go.jp/report/press/tokatsu01_hh_000373.html</x:v>
      </x:c>
      <x:c r="P41" s="7" t="str"/>
      <x:c r="Q41" s="7" t="str">
        <x:v>EV-56d4ef6bc326</x:v>
      </x:c>
      <x:c r="R41" s="7" t="str">
        <x:v>mlit_miyazaki</x:v>
      </x:c>
      <x:c r="S41" s="20" t="n">
        <x:v>2018</x:v>
      </x:c>
      <x:c r="T41" s="20" t="n">
        <x:v>2</x:v>
      </x:c>
      <x:c r="U41" s="7" t="str">
        <x:v>暦年・暦月</x:v>
      </x:c>
      <x:c r="V41" s="18" t="n">
        <x:v>43151</x:v>
      </x:c>
      <x:c r="W41" s="7" t="str">
        <x:v>SRC-1be1fcb435</x:v>
      </x:c>
      <x:c r="X41" s="7" t="str"/>
      <x:c r="Y41" s="20" t="n">
        <x:v>34</x:v>
      </x:c>
      <x:c r="Z41" s="7" t="str"/>
      <x:c r="AA41" s="7" t="str"/>
      <x:c r="AB41" s="7" t="str"/>
    </x:row>
    <x:row r="42" ht="40.400001525878906" customHeight="1">
      <x:c r="A42" s="7" t="str">
        <x:v>2018年3月</x:v>
      </x:c>
      <x:c r="B42" s="7" t="str">
        <x:v>月</x:v>
      </x:c>
      <x:c r="C42" s="7" t="str">
        <x:v>mlit_showa</x:v>
      </x:c>
      <x:c r="D42" s="7" t="str">
        <x:v>道の駅庄和 宅配ロッカー</x:v>
      </x:c>
      <x:c r="E42" s="7" t="str">
        <x:v>当時資料上の実験終了予定</x:v>
      </x:c>
      <x:c r="F42" s="7" t="str">
        <x:v>予定</x:v>
      </x:c>
      <x:c r="G42" s="7" t="str">
        <x:v>地域事例</x:v>
      </x:c>
      <x:c r="H42" s="7" t="str">
        <x:v>国土交通省</x:v>
      </x:c>
      <x:c r="I42" s="7" t="str">
        <x:v>埼玉県春日部市</x:v>
      </x:c>
      <x:c r="J42" s="7" t="str">
        <x:v>locker_program</x:v>
      </x:c>
      <x:c r="K42" s="18" t="n">
        <x:v>42824</x:v>
      </x:c>
      <x:c r="L42" s="7" t="str">
        <x:v>2017-03-30</x:v>
      </x:c>
      <x:c r="M42" s="18" t="n">
        <x:v>46326</x:v>
      </x:c>
      <x:c r="N42" s="7" t="str">
        <x:v>S123</x:v>
      </x:c>
      <x:c r="O42" s="7" t="str">
        <x:v>https://www.city.yokohama.lg.jp/kurashi/machizukuri-kankyo/kotsu/toshikotsu/seisaku/kako/past.files/0150_20210203.pdf</x:v>
      </x:c>
      <x:c r="P42" s="7" t="str"/>
      <x:c r="Q42" s="7" t="str">
        <x:v>EV-2be567005b7b</x:v>
      </x:c>
      <x:c r="R42" s="7" t="str">
        <x:v>mlit_showa</x:v>
      </x:c>
      <x:c r="S42" s="20" t="n">
        <x:v>2018</x:v>
      </x:c>
      <x:c r="T42" s="20" t="n">
        <x:v>3</x:v>
      </x:c>
      <x:c r="U42" s="7" t="str">
        <x:v>暦年・暦月</x:v>
      </x:c>
      <x:c r="V42" s="18"/>
      <x:c r="W42" s="7" t="str">
        <x:v>SRC-dc35151b94</x:v>
      </x:c>
      <x:c r="X42" s="7" t="str"/>
      <x:c r="Y42" s="20" t="n">
        <x:v>35</x:v>
      </x:c>
      <x:c r="Z42" s="7" t="str"/>
      <x:c r="AA42" s="7" t="str"/>
      <x:c r="AB42" s="7" t="str"/>
    </x:row>
    <x:row r="43" ht="54.599998474121094" customHeight="1">
      <x:c r="A43" s="7" t="str">
        <x:v>2018年度</x:v>
      </x:c>
      <x:c r="B43" s="7" t="str">
        <x:v>年度</x:v>
      </x:c>
      <x:c r="C43" s="7" t="str">
        <x:v>DIG-P05</x:v>
      </x:c>
      <x:c r="D43" s="7" t="str">
        <x:v>未来技術社会実装事業</x:v>
      </x:c>
      <x:c r="E43" s="7" t="str">
        <x:v>未来技術社会実装事業の選定。地域実装協議会を介する府省横断支援。</x:v>
      </x:c>
      <x:c r="F43" s="7" t="str">
        <x:v>選定</x:v>
      </x:c>
      <x:c r="G43" s="7" t="str">
        <x:v>政策制度</x:v>
      </x:c>
      <x:c r="H43" s="7" t="str">
        <x:v>内閣府地方創生
関係府省
地方自治体</x:v>
      </x:c>
      <x:c r="I43" s="7" t="str"/>
      <x:c r="J43" s="7" t="str">
        <x:v>DIG-P05</x:v>
      </x:c>
      <x:c r="K43" s="18" t="str">
        <x:v>2021-03</x:v>
      </x:c>
      <x:c r="L43" s="7" t="str">
        <x:v>2021-03</x:v>
      </x:c>
      <x:c r="M43" s="18" t="n">
        <x:v>46326</x:v>
      </x:c>
      <x:c r="N43" s="7" t="str">
        <x:v>S066</x:v>
      </x:c>
      <x:c r="O43" s="7" t="str">
        <x:v>https://www.chisou.go.jp/tiiki/kinmirai/pdf/01_mirai_h30torimatome.pdf</x:v>
      </x:c>
      <x:c r="P43" s="7" t="str"/>
      <x:c r="Q43" s="7" t="str">
        <x:v>EV-29dd0998fc82</x:v>
      </x:c>
      <x:c r="R43" s="7" t="str">
        <x:v>DIG-P05</x:v>
      </x:c>
      <x:c r="S43" s="20" t="n">
        <x:v>2018</x:v>
      </x:c>
      <x:c r="T43" s="20" t="n">
        <x:v>4</x:v>
      </x:c>
      <x:c r="U43" s="7" t="str">
        <x:v>年度・年度末</x:v>
      </x:c>
      <x:c r="V43" s="18"/>
      <x:c r="W43" s="7" t="str">
        <x:v>SRC-b7027fcd32</x:v>
      </x:c>
      <x:c r="X43" s="7" t="str"/>
      <x:c r="Y43" s="20" t="n">
        <x:v>36</x:v>
      </x:c>
      <x:c r="Z43" s="7" t="str"/>
      <x:c r="AA43" s="7" t="str"/>
      <x:c r="AB43" s="7" t="str"/>
    </x:row>
    <x:row r="44" ht="30" customHeight="1">
      <x:c r="A44" s="7" t="str">
        <x:v>2018年度</x:v>
      </x:c>
      <x:c r="B44" s="7" t="str">
        <x:v>年度</x:v>
      </x:c>
      <x:c r="C44" s="7" t="str">
        <x:v>mlit_drone_fukuoka</x:v>
      </x:c>
      <x:c r="D44" s="7" t="str">
        <x:v>福岡市離島ドローン物流モデル</x:v>
      </x:c>
      <x:c r="E44" s="7" t="str">
        <x:v>実証・モデル検証</x:v>
      </x:c>
      <x:c r="F44" s="7" t="str">
        <x:v>実証</x:v>
      </x:c>
      <x:c r="G44" s="7" t="str">
        <x:v>地域事例</x:v>
      </x:c>
      <x:c r="H44" s="7" t="str">
        <x:v>国土交通省</x:v>
      </x:c>
      <x:c r="I44" s="7" t="str">
        <x:v>福岡県福岡市</x:v>
      </x:c>
      <x:c r="J44" s="7" t="str">
        <x:v>drone_logistics</x:v>
      </x:c>
      <x:c r="K44" s="18" t="str">
        <x:v>2019-03</x:v>
      </x:c>
      <x:c r="L44" s="7" t="str">
        <x:v>2019-03</x:v>
      </x:c>
      <x:c r="M44" s="18" t="n">
        <x:v>46326</x:v>
      </x:c>
      <x:c r="N44" s="7" t="str">
        <x:v>S225</x:v>
      </x:c>
      <x:c r="O44" s="7" t="str">
        <x:v>https://www.mlit.go.jp/common/001289661.pdf</x:v>
      </x:c>
      <x:c r="P44" s="7" t="str"/>
      <x:c r="Q44" s="7" t="str">
        <x:v>EV-47f26b9a756a</x:v>
      </x:c>
      <x:c r="R44" s="7" t="str">
        <x:v>mlit_drone_fukuoka</x:v>
      </x:c>
      <x:c r="S44" s="20" t="n">
        <x:v>2018</x:v>
      </x:c>
      <x:c r="T44" s="20" t="n">
        <x:v>4</x:v>
      </x:c>
      <x:c r="U44" s="7" t="str">
        <x:v>年度・年度末</x:v>
      </x:c>
      <x:c r="V44" s="18"/>
      <x:c r="W44" s="7" t="str">
        <x:v>SRC-8a19cf209a</x:v>
      </x:c>
      <x:c r="X44" s="7" t="str"/>
      <x:c r="Y44" s="20" t="n">
        <x:v>37</x:v>
      </x:c>
      <x:c r="Z44" s="7" t="str"/>
      <x:c r="AA44" s="7" t="str"/>
      <x:c r="AB44" s="7" t="str"/>
    </x:row>
    <x:row r="45" ht="54.599998474121094" customHeight="1">
      <x:c r="A45" s="7" t="str">
        <x:v>2018年度</x:v>
      </x:c>
      <x:c r="B45" s="7" t="str">
        <x:v>年度</x:v>
      </x:c>
      <x:c r="C45" s="7" t="str">
        <x:v>DIG-P02</x:v>
      </x:c>
      <x:c r="D45" s="7" t="str">
        <x:v>SIP第1期 自動走行システム</x:v>
      </x:c>
      <x:c r="E45" s="7" t="str">
        <x:v>第1期最終年度。翌期に情報配信・地域サービスを拡張。</x:v>
      </x:c>
      <x:c r="F45" s="7" t="str">
        <x:v>事業終了</x:v>
      </x:c>
      <x:c r="G45" s="7" t="str">
        <x:v>政策制度</x:v>
      </x:c>
      <x:c r="H45" s="7" t="str">
        <x:v>内閣府CSTI
NEDO
警察庁・総務省・経済産業省・国土交通省</x:v>
      </x:c>
      <x:c r="I45" s="7" t="str"/>
      <x:c r="J45" s="7" t="str">
        <x:v>DIG-P02</x:v>
      </x:c>
      <x:c r="K45" s="18"/>
      <x:c r="L45" s="7" t="str">
        <x:v>2021頃（ページ日付未表示）</x:v>
      </x:c>
      <x:c r="M45" s="18" t="n">
        <x:v>46326</x:v>
      </x:c>
      <x:c r="N45" s="7" t="str">
        <x:v>S314</x:v>
      </x:c>
      <x:c r="O45" s="7" t="str">
        <x:v>https://www.sip-adus.go.jp/showcase/a1.html</x:v>
      </x:c>
      <x:c r="P45" s="7" t="str"/>
      <x:c r="Q45" s="7" t="str">
        <x:v>EV-4b180e7660e0</x:v>
      </x:c>
      <x:c r="R45" s="7" t="str">
        <x:v>DIG-P02</x:v>
      </x:c>
      <x:c r="S45" s="20" t="n">
        <x:v>2018</x:v>
      </x:c>
      <x:c r="T45" s="20" t="n">
        <x:v>4</x:v>
      </x:c>
      <x:c r="U45" s="7" t="str">
        <x:v>年度・年度末</x:v>
      </x:c>
      <x:c r="V45" s="18"/>
      <x:c r="W45" s="7" t="str">
        <x:v>SRC-7cea9604ac</x:v>
      </x:c>
      <x:c r="X45" s="7" t="str"/>
      <x:c r="Y45" s="20" t="n">
        <x:v>38</x:v>
      </x:c>
      <x:c r="Z45" s="7" t="str"/>
      <x:c r="AA45" s="7" t="str"/>
      <x:c r="AB45" s="7" t="str"/>
    </x:row>
    <x:row r="46" ht="54.599998474121094" customHeight="1">
      <x:c r="A46" s="7" t="str">
        <x:v>2018年度</x:v>
      </x:c>
      <x:c r="B46" s="7" t="str">
        <x:v>年度</x:v>
      </x:c>
      <x:c r="C46" s="7" t="str">
        <x:v>DIG-P03</x:v>
      </x:c>
      <x:c r="D46" s="7" t="str">
        <x:v>SIP第2期 自動運転（システムとサービスの拡張）</x:v>
      </x:c>
      <x:c r="E46" s="7" t="str">
        <x:v>第2期「システムとサービスの拡張」が開始。</x:v>
      </x:c>
      <x:c r="F46" s="7" t="str">
        <x:v>事業開始</x:v>
      </x:c>
      <x:c r="G46" s="7" t="str">
        <x:v>政策制度</x:v>
      </x:c>
      <x:c r="H46" s="7" t="str">
        <x:v>内閣府CSTI
NEDO
関係省庁</x:v>
      </x:c>
      <x:c r="I46" s="7" t="str"/>
      <x:c r="J46" s="7" t="str">
        <x:v>DIG-P03</x:v>
      </x:c>
      <x:c r="K46" s="18"/>
      <x:c r="L46" s="7" t="str">
        <x:v>2021頃（ページ日付未表示）</x:v>
      </x:c>
      <x:c r="M46" s="18" t="n">
        <x:v>46326</x:v>
      </x:c>
      <x:c r="N46" s="7" t="str">
        <x:v>S314</x:v>
      </x:c>
      <x:c r="O46" s="7" t="str">
        <x:v>https://www.sip-adus.go.jp/showcase/a1.html</x:v>
      </x:c>
      <x:c r="P46" s="7" t="str"/>
      <x:c r="Q46" s="7" t="str">
        <x:v>EV-64621b388fa0</x:v>
      </x:c>
      <x:c r="R46" s="7" t="str">
        <x:v>DIG-P03</x:v>
      </x:c>
      <x:c r="S46" s="20" t="n">
        <x:v>2018</x:v>
      </x:c>
      <x:c r="T46" s="20" t="n">
        <x:v>4</x:v>
      </x:c>
      <x:c r="U46" s="7" t="str">
        <x:v>年度・年度末</x:v>
      </x:c>
      <x:c r="V46" s="18"/>
      <x:c r="W46" s="7" t="str">
        <x:v>SRC-7cea9604ac</x:v>
      </x:c>
      <x:c r="X46" s="7" t="str"/>
      <x:c r="Y46" s="20" t="n">
        <x:v>39</x:v>
      </x:c>
      <x:c r="Z46" s="7" t="str"/>
      <x:c r="AA46" s="7" t="str"/>
      <x:c r="AB46" s="7" t="str"/>
    </x:row>
    <x:row r="47" ht="40.400001525878906" customHeight="1">
      <x:c r="A47" s="7" t="str">
        <x:v>2018年4月</x:v>
      </x:c>
      <x:c r="B47" s="7" t="str">
        <x:v>月</x:v>
      </x:c>
      <x:c r="C47" s="7" t="str">
        <x:v>meti_eiheiji</x:v>
      </x:c>
      <x:c r="D47" s="7" t="str">
        <x:v>永平寺町 ZEN drive</x:v>
      </x:c>
      <x:c r="E47" s="7" t="str">
        <x:v>公道実証開始</x:v>
      </x:c>
      <x:c r="F47" s="7" t="str">
        <x:v>実証</x:v>
      </x:c>
      <x:c r="G47" s="7" t="str">
        <x:v>地域事例</x:v>
      </x:c>
      <x:c r="H47" s="7" t="str">
        <x:v>経済産業省
横断検証（個別所管は資料参照）</x:v>
      </x:c>
      <x:c r="I47" s="7" t="str">
        <x:v>福井県永平寺町</x:v>
      </x:c>
      <x:c r="J47" s="7" t="str">
        <x:v>lastmile
roadl4</x:v>
      </x:c>
      <x:c r="K47" s="18" t="n">
        <x:v>46086</x:v>
      </x:c>
      <x:c r="L47" s="7" t="str">
        <x:v>2026-03-05</x:v>
      </x:c>
      <x:c r="M47" s="18" t="n">
        <x:v>46326</x:v>
      </x:c>
      <x:c r="N47" s="7" t="str">
        <x:v>S309</x:v>
      </x:c>
      <x:c r="O47" s="7" t="str">
        <x:v>https://www.road-to-the-l4.go.jp/publication/pdf/02-2_theme01_20260305.pdf</x:v>
      </x:c>
      <x:c r="P47" s="7" t="str"/>
      <x:c r="Q47" s="7" t="str">
        <x:v>EV-69a5bd69e6be</x:v>
      </x:c>
      <x:c r="R47" s="7" t="str">
        <x:v>meti_eiheiji</x:v>
      </x:c>
      <x:c r="S47" s="20" t="n">
        <x:v>2018</x:v>
      </x:c>
      <x:c r="T47" s="20" t="n">
        <x:v>4</x:v>
      </x:c>
      <x:c r="U47" s="7" t="str">
        <x:v>暦年・暦月</x:v>
      </x:c>
      <x:c r="V47" s="18"/>
      <x:c r="W47" s="7" t="str">
        <x:v>SRC-3022c44cce</x:v>
      </x:c>
      <x:c r="X47" s="7" t="str"/>
      <x:c r="Y47" s="20" t="n">
        <x:v>40</x:v>
      </x:c>
      <x:c r="Z47" s="7" t="str"/>
      <x:c r="AA47" s="7" t="str"/>
      <x:c r="AB47" s="7" t="str"/>
    </x:row>
    <x:row r="48" ht="111.4000015258789" customHeight="1">
      <x:c r="A48" s="7" t="str">
        <x:v>2018年度</x:v>
      </x:c>
      <x:c r="B48" s="7" t="str">
        <x:v>年度</x:v>
      </x:c>
      <x:c r="C48" s="7" t="str">
        <x:v>DIG-C01</x:v>
      </x:c>
      <x:c r="D48" s="7" t="str">
        <x:v>東京臨海部SIP自動運転実証</x:v>
      </x:c>
      <x:c r="E48" s="7" t="str">
        <x:v>SIP2へ移行し東京臨海部等でサービス拡張の検証。</x:v>
      </x:c>
      <x:c r="F48" s="7" t="str">
        <x:v>事業移行</x:v>
      </x:c>
      <x:c r="G48" s="7" t="str">
        <x:v>地域事例</x:v>
      </x:c>
      <x:c r="H48" s="7" t="str">
        <x:v>内閣府
警察庁等
内閣府CSTI
NEDO
警察庁・総務省・経済産業省・国土交通省
関係省庁
内閣府・総務省・デジタル庁等</x:v>
      </x:c>
      <x:c r="I48" s="7" t="str">
        <x:v>東京都臨海副都心・羽田・首都高速</x:v>
      </x:c>
      <x:c r="J48" s="7" t="str">
        <x:v>DIG-P02
DIG-P03</x:v>
      </x:c>
      <x:c r="K48" s="18"/>
      <x:c r="L48" s="7" t="str">
        <x:v>2021頃（ページ日付未表示）</x:v>
      </x:c>
      <x:c r="M48" s="18" t="n">
        <x:v>46326</x:v>
      </x:c>
      <x:c r="N48" s="7" t="str">
        <x:v>S314</x:v>
      </x:c>
      <x:c r="O48" s="7" t="str">
        <x:v>https://www.sip-adus.go.jp/showcase/a1.html</x:v>
      </x:c>
      <x:c r="P48" s="7" t="str"/>
      <x:c r="Q48" s="7" t="str">
        <x:v>EV-a4c60b9876ae</x:v>
      </x:c>
      <x:c r="R48" s="7" t="str">
        <x:v>DIG-C01</x:v>
      </x:c>
      <x:c r="S48" s="20" t="n">
        <x:v>2018</x:v>
      </x:c>
      <x:c r="T48" s="20" t="n">
        <x:v>4</x:v>
      </x:c>
      <x:c r="U48" s="7" t="str">
        <x:v>年度・年度末</x:v>
      </x:c>
      <x:c r="V48" s="18"/>
      <x:c r="W48" s="7" t="str">
        <x:v>SRC-7cea9604ac</x:v>
      </x:c>
      <x:c r="X48" s="7" t="str"/>
      <x:c r="Y48" s="20" t="n">
        <x:v>41</x:v>
      </x:c>
      <x:c r="Z48" s="7" t="str"/>
      <x:c r="AA48" s="7" t="str"/>
      <x:c r="AB48" s="7" t="str"/>
    </x:row>
    <x:row r="49" ht="40.400001525878906" customHeight="1">
      <x:c r="A49" s="7" t="str">
        <x:v>2018年度</x:v>
      </x:c>
      <x:c r="B49" s="7" t="str">
        <x:v>年度</x:v>
      </x:c>
      <x:c r="C49" s="7" t="str">
        <x:v>meti_kyushu_v2g</x:v>
      </x:c>
      <x:c r="D49" s="7" t="str">
        <x:v>九州V2G</x:v>
      </x:c>
      <x:c r="E49" s="7" t="str">
        <x:v>V2G実証着手</x:v>
      </x:c>
      <x:c r="F49" s="7" t="str">
        <x:v>実証</x:v>
      </x:c>
      <x:c r="G49" s="7" t="str">
        <x:v>地域事例</x:v>
      </x:c>
      <x:c r="H49" s="7" t="str">
        <x:v>経済産業省</x:v>
      </x:c>
      <x:c r="I49" s="7" t="str">
        <x:v>九州6拠点</x:v>
      </x:c>
      <x:c r="J49" s="7" t="str">
        <x:v>vpp</x:v>
      </x:c>
      <x:c r="K49" s="18"/>
      <x:c r="L49" s="7" t="str"/>
      <x:c r="M49" s="18" t="n">
        <x:v>46326</x:v>
      </x:c>
      <x:c r="N49" s="7" t="str">
        <x:v>S197</x:v>
      </x:c>
      <x:c r="O49" s="7" t="str">
        <x:v>https://www.kyuden.co.jp/company/history/energy/technology/technology-2.html</x:v>
      </x:c>
      <x:c r="P49" s="7" t="str"/>
      <x:c r="Q49" s="7" t="str">
        <x:v>EV-d0f499b97554</x:v>
      </x:c>
      <x:c r="R49" s="7" t="str">
        <x:v>meti_kyushu_v2g</x:v>
      </x:c>
      <x:c r="S49" s="20" t="n">
        <x:v>2018</x:v>
      </x:c>
      <x:c r="T49" s="20" t="n">
        <x:v>4</x:v>
      </x:c>
      <x:c r="U49" s="7" t="str">
        <x:v>年度・年度末</x:v>
      </x:c>
      <x:c r="V49" s="18"/>
      <x:c r="W49" s="7" t="str">
        <x:v>SRC-7647633cb4</x:v>
      </x:c>
      <x:c r="X49" s="7" t="str"/>
      <x:c r="Y49" s="20" t="n">
        <x:v>42</x:v>
      </x:c>
      <x:c r="Z49" s="7" t="str"/>
      <x:c r="AA49" s="7" t="str"/>
      <x:c r="AB49" s="7" t="str"/>
    </x:row>
    <x:row r="50" ht="54.599998474121094" customHeight="1">
      <x:c r="A50" s="7" t="str">
        <x:v>2018年6月15日</x:v>
      </x:c>
      <x:c r="B50" s="7" t="str">
        <x:v>日</x:v>
      </x:c>
      <x:c r="C50" s="7" t="str">
        <x:v>DIG-P01</x:v>
      </x:c>
      <x:c r="D50" s="7" t="str">
        <x:v>官民ITS構想・ロードマップ（前身政策）</x:v>
      </x:c>
      <x:c r="E50" s="7" t="str">
        <x:v>2018版が物流隊列走行・制度運用を工程化。</x:v>
      </x:c>
      <x:c r="F50" s="7" t="str">
        <x:v>戦略公表</x:v>
      </x:c>
      <x:c r="G50" s="7" t="str">
        <x:v>政策制度</x:v>
      </x:c>
      <x:c r="H50" s="7" t="str">
        <x:v>内閣官房IT総合戦略室
IT総合戦略本部・官民データ活用推進戦略会議</x:v>
      </x:c>
      <x:c r="I50" s="7" t="str"/>
      <x:c r="J50" s="7" t="str">
        <x:v>DIG-P01</x:v>
      </x:c>
      <x:c r="K50" s="18" t="n">
        <x:v>43266</x:v>
      </x:c>
      <x:c r="L50" s="7" t="str">
        <x:v>2018-06-15</x:v>
      </x:c>
      <x:c r="M50" s="18" t="n">
        <x:v>46326</x:v>
      </x:c>
      <x:c r="N50" s="7" t="str">
        <x:v>S255</x:v>
      </x:c>
      <x:c r="O50" s="7" t="str">
        <x:v>https://www.mlit.go.jp/road/ir/ir-council/nls/pdf01/12.pdf</x:v>
      </x:c>
      <x:c r="P50" s="7" t="str"/>
      <x:c r="Q50" s="7" t="str">
        <x:v>EV-e5cd0b5d70f2</x:v>
      </x:c>
      <x:c r="R50" s="7" t="str">
        <x:v>DIG-P01</x:v>
      </x:c>
      <x:c r="S50" s="20" t="n">
        <x:v>2018</x:v>
      </x:c>
      <x:c r="T50" s="20" t="n">
        <x:v>6</x:v>
      </x:c>
      <x:c r="U50" s="7" t="str">
        <x:v>暦年・暦月</x:v>
      </x:c>
      <x:c r="V50" s="18" t="n">
        <x:v>43266</x:v>
      </x:c>
      <x:c r="W50" s="7" t="str">
        <x:v>SRC-a23526fc00</x:v>
      </x:c>
      <x:c r="X50" s="7" t="str"/>
      <x:c r="Y50" s="20" t="n">
        <x:v>43</x:v>
      </x:c>
      <x:c r="Z50" s="7" t="str"/>
      <x:c r="AA50" s="7" t="str"/>
      <x:c r="AB50" s="7" t="str"/>
    </x:row>
    <x:row r="51" ht="40.400001525878906" customHeight="1">
      <x:c r="A51" s="7" t="str">
        <x:v>2018年10月</x:v>
      </x:c>
      <x:c r="B51" s="7" t="str">
        <x:v>月</x:v>
      </x:c>
      <x:c r="C51" s="7" t="str">
        <x:v>meti_hitachi</x:v>
      </x:c>
      <x:c r="D51" s="7" t="str">
        <x:v>ひたちBRT L4</x:v>
      </x:c>
      <x:c r="E51" s="7" t="str">
        <x:v>初期ラストマイル実証</x:v>
      </x:c>
      <x:c r="F51" s="7" t="str">
        <x:v>実証</x:v>
      </x:c>
      <x:c r="G51" s="7" t="str">
        <x:v>地域事例</x:v>
      </x:c>
      <x:c r="H51" s="7" t="str">
        <x:v>経済産業省</x:v>
      </x:c>
      <x:c r="I51" s="7" t="str">
        <x:v>茨城県日立市</x:v>
      </x:c>
      <x:c r="J51" s="7" t="str">
        <x:v>lastmile
roadl4</x:v>
      </x:c>
      <x:c r="K51" s="18"/>
      <x:c r="L51" s="7" t="str"/>
      <x:c r="M51" s="18" t="n">
        <x:v>46326</x:v>
      </x:c>
      <x:c r="N51" s="7" t="str">
        <x:v>S224</x:v>
      </x:c>
      <x:c r="O51" s="7" t="str">
        <x:v>https://www.mlit.go.jp/common/001263901.pdf</x:v>
      </x:c>
      <x:c r="P51" s="7" t="str"/>
      <x:c r="Q51" s="7" t="str">
        <x:v>EV-c4c10a597735</x:v>
      </x:c>
      <x:c r="R51" s="7" t="str">
        <x:v>meti_hitachi</x:v>
      </x:c>
      <x:c r="S51" s="20" t="n">
        <x:v>2018</x:v>
      </x:c>
      <x:c r="T51" s="20" t="n">
        <x:v>10</x:v>
      </x:c>
      <x:c r="U51" s="7" t="str">
        <x:v>暦年・暦月</x:v>
      </x:c>
      <x:c r="V51" s="18"/>
      <x:c r="W51" s="7" t="str">
        <x:v>SRC-449f8104ca</x:v>
      </x:c>
      <x:c r="X51" s="7" t="str"/>
      <x:c r="Y51" s="20" t="n">
        <x:v>44</x:v>
      </x:c>
      <x:c r="Z51" s="7" t="str"/>
      <x:c r="AA51" s="7" t="str"/>
      <x:c r="AB51" s="7" t="str"/>
    </x:row>
    <x:row r="52" ht="30" customHeight="1">
      <x:c r="A52" s="7" t="str">
        <x:v>2018年11月</x:v>
      </x:c>
      <x:c r="B52" s="7" t="str">
        <x:v>月</x:v>
      </x:c>
      <x:c r="C52" s="7" t="str">
        <x:v>mlit_fukuyama</x:v>
      </x:c>
      <x:c r="D52" s="7" t="str">
        <x:v>鞆の浦グリーンスローモビリティ</x:v>
      </x:c>
      <x:c r="E52" s="7" t="str">
        <x:v>鞆地区で実証</x:v>
      </x:c>
      <x:c r="F52" s="7" t="str">
        <x:v>実証</x:v>
      </x:c>
      <x:c r="G52" s="7" t="str">
        <x:v>地域事例</x:v>
      </x:c>
      <x:c r="H52" s="7" t="str">
        <x:v>国土交通省</x:v>
      </x:c>
      <x:c r="I52" s="7" t="str">
        <x:v>広島県福山市</x:v>
      </x:c>
      <x:c r="J52" s="7" t="str">
        <x:v>gsm</x:v>
      </x:c>
      <x:c r="K52" s="18" t="str">
        <x:v>2018-11</x:v>
      </x:c>
      <x:c r="L52" s="7" t="str">
        <x:v>2018-11</x:v>
      </x:c>
      <x:c r="M52" s="18" t="n">
        <x:v>46326</x:v>
      </x:c>
      <x:c r="N52" s="7" t="str">
        <x:v>S068</x:v>
      </x:c>
      <x:c r="O52" s="7" t="str">
        <x:v>https://www.city.fukuyama.hiroshima.jp/site/shicho/137014.html</x:v>
      </x:c>
      <x:c r="P52" s="7" t="str"/>
      <x:c r="Q52" s="7" t="str">
        <x:v>EV-126a27b94ccf</x:v>
      </x:c>
      <x:c r="R52" s="7" t="str">
        <x:v>mlit_fukuyama</x:v>
      </x:c>
      <x:c r="S52" s="20" t="n">
        <x:v>2018</x:v>
      </x:c>
      <x:c r="T52" s="20" t="n">
        <x:v>11</x:v>
      </x:c>
      <x:c r="U52" s="7" t="str">
        <x:v>暦年・暦月</x:v>
      </x:c>
      <x:c r="V52" s="18"/>
      <x:c r="W52" s="7" t="str">
        <x:v>SRC-14f79fae36</x:v>
      </x:c>
      <x:c r="X52" s="7" t="str"/>
      <x:c r="Y52" s="20" t="n">
        <x:v>45</x:v>
      </x:c>
      <x:c r="Z52" s="7" t="str"/>
      <x:c r="AA52" s="7" t="str"/>
      <x:c r="AB52" s="7" t="str"/>
    </x:row>
    <x:row r="53" ht="40.400001525878906" customHeight="1">
      <x:c r="A53" s="7" t="str">
        <x:v>2018年11月2日</x:v>
      </x:c>
      <x:c r="B53" s="7" t="str">
        <x:v>日</x:v>
      </x:c>
      <x:c r="C53" s="7" t="str">
        <x:v>mlit_miyama</x:v>
      </x:c>
      <x:c r="D53" s="7" t="str">
        <x:v>みやま市山川 自動運転</x:v>
      </x:c>
      <x:c r="E53" s="7" t="str">
        <x:v>長期実験開始（12月21日まで）</x:v>
      </x:c>
      <x:c r="F53" s="7" t="str">
        <x:v>長期実証</x:v>
      </x:c>
      <x:c r="G53" s="7" t="str">
        <x:v>地域事例</x:v>
      </x:c>
      <x:c r="H53" s="7" t="str">
        <x:v>国土交通省・SIP
国土交通省</x:v>
      </x:c>
      <x:c r="I53" s="7" t="str">
        <x:v>福岡県みやま市</x:v>
      </x:c>
      <x:c r="J53" s="7" t="str">
        <x:v>roadstation</x:v>
      </x:c>
      <x:c r="K53" s="18"/>
      <x:c r="L53" s="7" t="str"/>
      <x:c r="M53" s="18" t="n">
        <x:v>46326</x:v>
      </x:c>
      <x:c r="N53" s="7" t="str">
        <x:v>S093</x:v>
      </x:c>
      <x:c r="O53" s="7" t="str">
        <x:v>https://www.city.miyama.lg.jp/s068/kurashi/giandaiichigo.pdf</x:v>
      </x:c>
      <x:c r="P53" s="7" t="str"/>
      <x:c r="Q53" s="7" t="str">
        <x:v>EV-9c0c7326117b</x:v>
      </x:c>
      <x:c r="R53" s="7" t="str">
        <x:v>mlit_miyama</x:v>
      </x:c>
      <x:c r="S53" s="20" t="n">
        <x:v>2018</x:v>
      </x:c>
      <x:c r="T53" s="20" t="n">
        <x:v>11</x:v>
      </x:c>
      <x:c r="U53" s="7" t="str">
        <x:v>暦年・暦月</x:v>
      </x:c>
      <x:c r="V53" s="18" t="n">
        <x:v>43406</x:v>
      </x:c>
      <x:c r="W53" s="7" t="str">
        <x:v>SRC-f2fb94be7b</x:v>
      </x:c>
      <x:c r="X53" s="7" t="str"/>
      <x:c r="Y53" s="20" t="n">
        <x:v>46</x:v>
      </x:c>
      <x:c r="Z53" s="7" t="str"/>
      <x:c r="AA53" s="7" t="str"/>
      <x:c r="AB53" s="7" t="str"/>
    </x:row>
    <x:row r="54" ht="40.400001525878906" customHeight="1">
      <x:c r="A54" s="7" t="str">
        <x:v>2018年11月6日</x:v>
      </x:c>
      <x:c r="B54" s="7" t="str">
        <x:v>日</x:v>
      </x:c>
      <x:c r="C54" s="7" t="str">
        <x:v>meti_shintomei</x:v>
      </x:c>
      <x:c r="D54" s="7" t="str">
        <x:v>新東名トラック隊列→高速L4</x:v>
      </x:c>
      <x:c r="E54" s="7" t="str">
        <x:v>上信越で後続有人実証予定を公表</x:v>
      </x:c>
      <x:c r="F54" s="7" t="str">
        <x:v>実証計画</x:v>
      </x:c>
      <x:c r="G54" s="7" t="str">
        <x:v>地域事例</x:v>
      </x:c>
      <x:c r="H54" s="7" t="str">
        <x:v>経済産業省
国土交通省</x:v>
      </x:c>
      <x:c r="I54" s="7" t="str">
        <x:v>静岡県・新東名高速</x:v>
      </x:c>
      <x:c r="J54" s="7" t="str">
        <x:v>platoon
roadl4</x:v>
      </x:c>
      <x:c r="K54" s="18" t="n">
        <x:v>43390</x:v>
      </x:c>
      <x:c r="L54" s="7" t="str">
        <x:v>2018-10-17</x:v>
      </x:c>
      <x:c r="M54" s="18" t="n">
        <x:v>46326</x:v>
      </x:c>
      <x:c r="N54" s="7" t="str">
        <x:v>S241</x:v>
      </x:c>
      <x:c r="O54" s="7" t="str">
        <x:v>https://www.mlit.go.jp/report/press/jidosha07_hh_000286.html</x:v>
      </x:c>
      <x:c r="P54" s="7" t="str"/>
      <x:c r="Q54" s="7" t="str">
        <x:v>EV-37fd1a66a29d</x:v>
      </x:c>
      <x:c r="R54" s="7" t="str">
        <x:v>meti_shintomei</x:v>
      </x:c>
      <x:c r="S54" s="20" t="n">
        <x:v>2018</x:v>
      </x:c>
      <x:c r="T54" s="20" t="n">
        <x:v>11</x:v>
      </x:c>
      <x:c r="U54" s="7" t="str">
        <x:v>暦年・暦月</x:v>
      </x:c>
      <x:c r="V54" s="18" t="n">
        <x:v>43410</x:v>
      </x:c>
      <x:c r="W54" s="7" t="str">
        <x:v>SRC-c5593d93c5</x:v>
      </x:c>
      <x:c r="X54" s="7" t="str"/>
      <x:c r="Y54" s="20" t="n">
        <x:v>47</x:v>
      </x:c>
      <x:c r="Z54" s="7" t="str"/>
      <x:c r="AA54" s="7" t="str"/>
      <x:c r="AB54" s="7" t="str"/>
    </x:row>
    <x:row r="55" ht="40.400001525878906" customHeight="1">
      <x:c r="A55" s="7" t="str">
        <x:v>2018年12月4日</x:v>
      </x:c>
      <x:c r="B55" s="7" t="str">
        <x:v>日</x:v>
      </x:c>
      <x:c r="C55" s="7" t="str">
        <x:v>meti_shintomei</x:v>
      </x:c>
      <x:c r="D55" s="7" t="str">
        <x:v>新東名トラック隊列→高速L4</x:v>
      </x:c>
      <x:c r="E55" s="7" t="str">
        <x:v>新東名で後続有人実証予定を公表</x:v>
      </x:c>
      <x:c r="F55" s="7" t="str">
        <x:v>実証計画</x:v>
      </x:c>
      <x:c r="G55" s="7" t="str">
        <x:v>地域事例</x:v>
      </x:c>
      <x:c r="H55" s="7" t="str">
        <x:v>経済産業省
国土交通省</x:v>
      </x:c>
      <x:c r="I55" s="7" t="str">
        <x:v>静岡県・新東名高速</x:v>
      </x:c>
      <x:c r="J55" s="7" t="str">
        <x:v>platoon
roadl4</x:v>
      </x:c>
      <x:c r="K55" s="18" t="n">
        <x:v>43390</x:v>
      </x:c>
      <x:c r="L55" s="7" t="str">
        <x:v>2018-10-17</x:v>
      </x:c>
      <x:c r="M55" s="18" t="n">
        <x:v>46326</x:v>
      </x:c>
      <x:c r="N55" s="7" t="str">
        <x:v>S241</x:v>
      </x:c>
      <x:c r="O55" s="7" t="str">
        <x:v>https://www.mlit.go.jp/report/press/jidosha07_hh_000286.html</x:v>
      </x:c>
      <x:c r="P55" s="7" t="str"/>
      <x:c r="Q55" s="7" t="str">
        <x:v>EV-7f1226f40c30</x:v>
      </x:c>
      <x:c r="R55" s="7" t="str">
        <x:v>meti_shintomei</x:v>
      </x:c>
      <x:c r="S55" s="20" t="n">
        <x:v>2018</x:v>
      </x:c>
      <x:c r="T55" s="20" t="n">
        <x:v>12</x:v>
      </x:c>
      <x:c r="U55" s="7" t="str">
        <x:v>暦年・暦月</x:v>
      </x:c>
      <x:c r="V55" s="18" t="n">
        <x:v>43438</x:v>
      </x:c>
      <x:c r="W55" s="7" t="str">
        <x:v>SRC-c5593d93c5</x:v>
      </x:c>
      <x:c r="X55" s="7" t="str"/>
      <x:c r="Y55" s="20" t="n">
        <x:v>48</x:v>
      </x:c>
      <x:c r="Z55" s="7" t="str"/>
      <x:c r="AA55" s="7" t="str"/>
      <x:c r="AB55" s="7" t="str"/>
    </x:row>
    <x:row r="56" ht="40.400001525878906" customHeight="1">
      <x:c r="A56" s="7" t="str">
        <x:v>2018年12月4日</x:v>
      </x:c>
      <x:c r="B56" s="7" t="str">
        <x:v>日</x:v>
      </x:c>
      <x:c r="C56" s="7" t="str">
        <x:v>mlit_narita</x:v>
      </x:c>
      <x:c r="D56" s="7" t="str">
        <x:v>成田空港地上車両自動運転</x:v>
      </x:c>
      <x:c r="E56" s="7" t="str">
        <x:v>空港内初実証を公表</x:v>
      </x:c>
      <x:c r="F56" s="7" t="str">
        <x:v>実証</x:v>
      </x:c>
      <x:c r="G56" s="7" t="str">
        <x:v>地域事例</x:v>
      </x:c>
      <x:c r="H56" s="7" t="str">
        <x:v>国土交通省</x:v>
      </x:c>
      <x:c r="I56" s="7" t="str">
        <x:v>千葉県成田国際空港</x:v>
      </x:c>
      <x:c r="J56" s="7" t="str">
        <x:v>airportauto</x:v>
      </x:c>
      <x:c r="K56" s="18" t="n">
        <x:v>43438</x:v>
      </x:c>
      <x:c r="L56" s="7" t="str">
        <x:v>2018-12-04</x:v>
      </x:c>
      <x:c r="M56" s="18" t="n">
        <x:v>46326</x:v>
      </x:c>
      <x:c r="N56" s="7" t="str">
        <x:v>S285</x:v>
      </x:c>
      <x:c r="O56" s="7" t="str">
        <x:v>https://www.narita-airport.jp/ja/company/media-center/news/20181204-jidousoukou/</x:v>
      </x:c>
      <x:c r="P56" s="7" t="str"/>
      <x:c r="Q56" s="7" t="str">
        <x:v>EV-b0a0b0630622</x:v>
      </x:c>
      <x:c r="R56" s="7" t="str">
        <x:v>mlit_narita</x:v>
      </x:c>
      <x:c r="S56" s="20" t="n">
        <x:v>2018</x:v>
      </x:c>
      <x:c r="T56" s="20" t="n">
        <x:v>12</x:v>
      </x:c>
      <x:c r="U56" s="7" t="str">
        <x:v>暦年・暦月</x:v>
      </x:c>
      <x:c r="V56" s="18" t="n">
        <x:v>43438</x:v>
      </x:c>
      <x:c r="W56" s="7" t="str">
        <x:v>SRC-8065d68bf7</x:v>
      </x:c>
      <x:c r="X56" s="7" t="str"/>
      <x:c r="Y56" s="20" t="n">
        <x:v>49</x:v>
      </x:c>
      <x:c r="Z56" s="7" t="str"/>
      <x:c r="AA56" s="7" t="str"/>
      <x:c r="AB56" s="7" t="str"/>
    </x:row>
    <x:row r="57" ht="30" customHeight="1">
      <x:c r="A57" s="7" t="str">
        <x:v>2019年</x:v>
      </x:c>
      <x:c r="B57" s="7" t="str">
        <x:v>年</x:v>
      </x:c>
      <x:c r="C57" s="7" t="str">
        <x:v>OTHER-C01</x:v>
      </x:c>
      <x:c r="D57" s="7" t="str">
        <x:v>加子母の広報と生活支援 配達</x:v>
      </x:c>
      <x:c r="E57" s="7" t="str">
        <x:v>買物システム開始</x:v>
      </x:c>
      <x:c r="F57" s="7" t="str">
        <x:v>サービス開始</x:v>
      </x:c>
      <x:c r="G57" s="7" t="str">
        <x:v>地域事例</x:v>
      </x:c>
      <x:c r="H57" s="7" t="str">
        <x:v>その他府省・横断</x:v>
      </x:c>
      <x:c r="I57" s="7" t="str">
        <x:v>岐阜県中津川市</x:v>
      </x:c>
      <x:c r="J57" s="7" t="str"/>
      <x:c r="K57" s="18" t="n">
        <x:v>45167</x:v>
      </x:c>
      <x:c r="L57" s="7" t="str">
        <x:v>2023-08-29</x:v>
      </x:c>
      <x:c r="M57" s="18" t="n">
        <x:v>46326</x:v>
      </x:c>
      <x:c r="N57" s="7" t="str">
        <x:v>S199</x:v>
      </x:c>
      <x:c r="O57" s="7" t="str">
        <x:v>https://www.maff.go.jp/j/nousin/digikatsu/attach/pdf/index-47.pdf</x:v>
      </x:c>
      <x:c r="P57" s="7" t="str"/>
      <x:c r="Q57" s="7" t="str">
        <x:v>EV-b224282d30b1</x:v>
      </x:c>
      <x:c r="R57" s="7" t="str">
        <x:v>OTHER-C01</x:v>
      </x:c>
      <x:c r="S57" s="20" t="n">
        <x:v>2019</x:v>
      </x:c>
      <x:c r="T57" s="20" t="n">
        <x:v>1</x:v>
      </x:c>
      <x:c r="U57" s="7" t="str">
        <x:v>暦年・暦月</x:v>
      </x:c>
      <x:c r="V57" s="18"/>
      <x:c r="W57" s="7" t="str">
        <x:v>SRC-11b5defcfd</x:v>
      </x:c>
      <x:c r="X57" s="7" t="str"/>
      <x:c r="Y57" s="20" t="n">
        <x:v>50</x:v>
      </x:c>
      <x:c r="Z57" s="7" t="str"/>
      <x:c r="AA57" s="7" t="str"/>
      <x:c r="AB57" s="7" t="str"/>
    </x:row>
    <x:row r="58" ht="68.80000305175781" customHeight="1">
      <x:c r="A58" s="7" t="str">
        <x:v>2019年</x:v>
      </x:c>
      <x:c r="B58" s="7" t="str">
        <x:v>年</x:v>
      </x:c>
      <x:c r="C58" s="7" t="str"/>
      <x:c r="D58" s="7" t="str">
        <x:v>国土交通省の政策動向</x:v>
      </x:c>
      <x:c r="E58" s="7" t="str">
        <x:v>日本版MaaS先行19、スマートシティ先行15・重点23。かみこあに本格運行、福山グリスロ営業化。</x:v>
      </x:c>
      <x:c r="F58" s="7" t="str"/>
      <x:c r="G58" s="7" t="str">
        <x:v>政策制度</x:v>
      </x:c>
      <x:c r="H58" s="7" t="str">
        <x:v>国土交通省</x:v>
      </x:c>
      <x:c r="I58" s="7" t="str"/>
      <x:c r="J58" s="7" t="str"/>
      <x:c r="K58" s="18"/>
      <x:c r="L58" s="7" t="str"/>
      <x:c r="M58" s="18" t="n">
        <x:v>46326</x:v>
      </x:c>
      <x:c r="N58" s="7" t="str">
        <x:v>S271
S252
S245
S002</x:v>
      </x:c>
      <x:c r="O58" s="7" t="str">
        <x:v>https://www.mlit.go.jp/report/press/road01_hh_001258.html</x:v>
      </x:c>
      <x:c r="P58" s="7" t="str"/>
      <x:c r="Q58" s="7" t="str">
        <x:v>EV-e2a8a40fd353</x:v>
      </x:c>
      <x:c r="R58" s="7" t="str">
        <x:v>mlit</x:v>
      </x:c>
      <x:c r="S58" s="20" t="n">
        <x:v>2019</x:v>
      </x:c>
      <x:c r="T58" s="20" t="n">
        <x:v>1</x:v>
      </x:c>
      <x:c r="U58" s="7" t="str">
        <x:v>暦年・暦月</x:v>
      </x:c>
      <x:c r="V58" s="18"/>
      <x:c r="W58" s="7" t="str">
        <x:v>SRC-dc31021747
SRC-94db9792b7
SRC-d434c18491
SRC-b3c49faa5c</x:v>
      </x:c>
      <x:c r="X58" s="7" t="str">
        <x:v>https://www.mlit.go.jp/sogoseisaku/transport/sosei_transport_tk_000160.html
https://www.mlit.go.jp/report/press/toshi07_hh_000139.html
https://chushikoku.env.go.jp/content/000128710.pdf</x:v>
      </x:c>
      <x:c r="Y58" s="20" t="n">
        <x:v>51</x:v>
      </x:c>
      <x:c r="Z58" s="7" t="str"/>
      <x:c r="AA58" s="7" t="str"/>
      <x:c r="AB58" s="7" t="str"/>
    </x:row>
    <x:row r="59" ht="40.400001525878906" customHeight="1">
      <x:c r="A59" s="7" t="str">
        <x:v>2019年2月26日</x:v>
      </x:c>
      <x:c r="B59" s="7" t="str">
        <x:v>日</x:v>
      </x:c>
      <x:c r="C59" s="7" t="str">
        <x:v>meti_tepco_v2g</x:v>
      </x:c>
      <x:c r="D59" s="7" t="str">
        <x:v>TEPCO V2G複数拠点</x:v>
      </x:c>
      <x:c r="E59" s="7" t="str">
        <x:v>17台のV2G成果を発表</x:v>
      </x:c>
      <x:c r="F59" s="7" t="str">
        <x:v>実証結果</x:v>
      </x:c>
      <x:c r="G59" s="7" t="str">
        <x:v>地域事例</x:v>
      </x:c>
      <x:c r="H59" s="7" t="str">
        <x:v>経済産業省</x:v>
      </x:c>
      <x:c r="I59" s="7" t="str">
        <x:v>静岡県富士市等・愛知県岡崎市等</x:v>
      </x:c>
      <x:c r="J59" s="7" t="str">
        <x:v>vpp</x:v>
      </x:c>
      <x:c r="K59" s="18" t="n">
        <x:v>43522</x:v>
      </x:c>
      <x:c r="L59" s="7" t="str">
        <x:v>2019-02-26</x:v>
      </x:c>
      <x:c r="M59" s="18" t="n">
        <x:v>46326</x:v>
      </x:c>
      <x:c r="N59" s="7" t="str">
        <x:v>S221</x:v>
      </x:c>
      <x:c r="O59" s="7" t="str">
        <x:v>https://www.mitsubishi-motors.com/jp/newsroom/newsrelease/2019/20190226_1.html</x:v>
      </x:c>
      <x:c r="P59" s="7" t="str"/>
      <x:c r="Q59" s="7" t="str">
        <x:v>EV-b480329e9fd8</x:v>
      </x:c>
      <x:c r="R59" s="7" t="str">
        <x:v>meti_tepco_v2g</x:v>
      </x:c>
      <x:c r="S59" s="20" t="n">
        <x:v>2019</x:v>
      </x:c>
      <x:c r="T59" s="20" t="n">
        <x:v>2</x:v>
      </x:c>
      <x:c r="U59" s="7" t="str">
        <x:v>暦年・暦月</x:v>
      </x:c>
      <x:c r="V59" s="18" t="n">
        <x:v>43522</x:v>
      </x:c>
      <x:c r="W59" s="7" t="str">
        <x:v>SRC-08ae54183f</x:v>
      </x:c>
      <x:c r="X59" s="7" t="str"/>
      <x:c r="Y59" s="20" t="n">
        <x:v>52</x:v>
      </x:c>
      <x:c r="Z59" s="7" t="str"/>
      <x:c r="AA59" s="7" t="str"/>
      <x:c r="AB59" s="7" t="str"/>
    </x:row>
    <x:row r="60" ht="40.400001525878906" customHeight="1">
      <x:c r="A60" s="7" t="str">
        <x:v>2019年3月</x:v>
      </x:c>
      <x:c r="B60" s="7" t="str">
        <x:v>月</x:v>
      </x:c>
      <x:c r="C60" s="7" t="str">
        <x:v>V-C13</x:v>
      </x:c>
      <x:c r="D60" s="7" t="str">
        <x:v>熊本5社共同経営</x:v>
      </x:c>
      <x:c r="E60" s="7" t="str">
        <x:v>バス交通のあり方検討会</x:v>
      </x:c>
      <x:c r="F60" s="7" t="str">
        <x:v>協議開始</x:v>
      </x:c>
      <x:c r="G60" s="7" t="str">
        <x:v>地域事例</x:v>
      </x:c>
      <x:c r="H60" s="7" t="str">
        <x:v>横断検証（個別所管は資料参照）</x:v>
      </x:c>
      <x:c r="I60" s="7" t="str">
        <x:v>熊本県熊本市</x:v>
      </x:c>
      <x:c r="J60" s="7" t="str"/>
      <x:c r="K60" s="18"/>
      <x:c r="L60" s="7" t="str"/>
      <x:c r="M60" s="18" t="n">
        <x:v>46326</x:v>
      </x:c>
      <x:c r="N60" s="7" t="str">
        <x:v>S082</x:v>
      </x:c>
      <x:c r="O60" s="7" t="str">
        <x:v>https://www.city.kumamoto.jp/kiji0032432/3_2432_495498_up_emz8jvz1.pdf</x:v>
      </x:c>
      <x:c r="P60" s="7" t="str"/>
      <x:c r="Q60" s="7" t="str">
        <x:v>EV-5da50696963b</x:v>
      </x:c>
      <x:c r="R60" s="7" t="str">
        <x:v>V-C13</x:v>
      </x:c>
      <x:c r="S60" s="20" t="n">
        <x:v>2019</x:v>
      </x:c>
      <x:c r="T60" s="20" t="n">
        <x:v>3</x:v>
      </x:c>
      <x:c r="U60" s="7" t="str">
        <x:v>暦年・暦月</x:v>
      </x:c>
      <x:c r="V60" s="18"/>
      <x:c r="W60" s="7" t="str">
        <x:v>SRC-25815fa80f</x:v>
      </x:c>
      <x:c r="X60" s="7" t="str"/>
      <x:c r="Y60" s="20" t="n">
        <x:v>53</x:v>
      </x:c>
      <x:c r="Z60" s="7" t="str"/>
      <x:c r="AA60" s="7" t="str"/>
      <x:c r="AB60" s="7" t="str"/>
    </x:row>
    <x:row r="61" ht="30" customHeight="1">
      <x:c r="A61" s="7" t="str">
        <x:v>2019年3月</x:v>
      </x:c>
      <x:c r="B61" s="7" t="str">
        <x:v>月</x:v>
      </x:c>
      <x:c r="C61" s="7" t="str">
        <x:v>mlit_drone_fukuoka</x:v>
      </x:c>
      <x:c r="D61" s="7" t="str">
        <x:v>福岡市離島ドローン物流モデル</x:v>
      </x:c>
      <x:c r="E61" s="7" t="str">
        <x:v>実証と想定シナリオを分けた報告</x:v>
      </x:c>
      <x:c r="F61" s="7" t="str">
        <x:v>成果報告</x:v>
      </x:c>
      <x:c r="G61" s="7" t="str">
        <x:v>地域事例</x:v>
      </x:c>
      <x:c r="H61" s="7" t="str">
        <x:v>国土交通省</x:v>
      </x:c>
      <x:c r="I61" s="7" t="str">
        <x:v>福岡県福岡市</x:v>
      </x:c>
      <x:c r="J61" s="7" t="str">
        <x:v>drone_logistics</x:v>
      </x:c>
      <x:c r="K61" s="18" t="str">
        <x:v>2019-03</x:v>
      </x:c>
      <x:c r="L61" s="7" t="str">
        <x:v>2019-03</x:v>
      </x:c>
      <x:c r="M61" s="18" t="n">
        <x:v>46326</x:v>
      </x:c>
      <x:c r="N61" s="7" t="str">
        <x:v>S225</x:v>
      </x:c>
      <x:c r="O61" s="7" t="str">
        <x:v>https://www.mlit.go.jp/common/001289661.pdf</x:v>
      </x:c>
      <x:c r="P61" s="7" t="str">
        <x:v>同一期間内の厳密な前後関係は日付精度により未確定</x:v>
      </x:c>
      <x:c r="Q61" s="7" t="str">
        <x:v>EV-c485320d319d</x:v>
      </x:c>
      <x:c r="R61" s="7" t="str">
        <x:v>mlit_drone_fukuoka</x:v>
      </x:c>
      <x:c r="S61" s="20" t="n">
        <x:v>2019</x:v>
      </x:c>
      <x:c r="T61" s="20" t="n">
        <x:v>3</x:v>
      </x:c>
      <x:c r="U61" s="7" t="str">
        <x:v>暦年・暦月</x:v>
      </x:c>
      <x:c r="V61" s="18"/>
      <x:c r="W61" s="7" t="str">
        <x:v>SRC-8a19cf209a</x:v>
      </x:c>
      <x:c r="X61" s="7" t="str"/>
      <x:c r="Y61" s="20" t="n">
        <x:v>54</x:v>
      </x:c>
      <x:c r="Z61" s="7" t="str"/>
      <x:c r="AA61" s="7" t="str"/>
      <x:c r="AB61" s="7" t="str"/>
    </x:row>
    <x:row r="62" ht="40.400001525878906" customHeight="1">
      <x:c r="A62" s="7" t="str">
        <x:v>2019年度</x:v>
      </x:c>
      <x:c r="B62" s="7" t="str">
        <x:v>年度</x:v>
      </x:c>
      <x:c r="C62" s="7" t="str">
        <x:v>mlit_narita</x:v>
      </x:c>
      <x:c r="D62" s="7" t="str">
        <x:v>成田空港地上車両自動運転</x:v>
      </x:c>
      <x:c r="E62" s="7" t="str">
        <x:v>GSE実証開始</x:v>
      </x:c>
      <x:c r="F62" s="7" t="str">
        <x:v>貨物系実証</x:v>
      </x:c>
      <x:c r="G62" s="7" t="str">
        <x:v>地域事例</x:v>
      </x:c>
      <x:c r="H62" s="7" t="str">
        <x:v>国土交通省</x:v>
      </x:c>
      <x:c r="I62" s="7" t="str">
        <x:v>千葉県成田国際空港</x:v>
      </x:c>
      <x:c r="J62" s="7" t="str">
        <x:v>airportauto</x:v>
      </x:c>
      <x:c r="K62" s="18"/>
      <x:c r="L62" s="7" t="str"/>
      <x:c r="M62" s="18" t="n">
        <x:v>46326</x:v>
      </x:c>
      <x:c r="N62" s="7" t="str">
        <x:v>S284</x:v>
      </x:c>
      <x:c r="O62" s="7" t="str">
        <x:v>https://www.narita-airport.jp/ja/company/airport-operation/action/airnarita/automation/</x:v>
      </x:c>
      <x:c r="P62" s="7" t="str"/>
      <x:c r="Q62" s="7" t="str">
        <x:v>EV-14cc233b9e20</x:v>
      </x:c>
      <x:c r="R62" s="7" t="str">
        <x:v>mlit_narita</x:v>
      </x:c>
      <x:c r="S62" s="20" t="n">
        <x:v>2019</x:v>
      </x:c>
      <x:c r="T62" s="20" t="n">
        <x:v>4</x:v>
      </x:c>
      <x:c r="U62" s="7" t="str">
        <x:v>年度・年度末</x:v>
      </x:c>
      <x:c r="V62" s="18"/>
      <x:c r="W62" s="7" t="str">
        <x:v>SRC-0b54f721cb</x:v>
      </x:c>
      <x:c r="X62" s="7" t="str"/>
      <x:c r="Y62" s="20" t="n">
        <x:v>55</x:v>
      </x:c>
      <x:c r="Z62" s="7" t="str"/>
      <x:c r="AA62" s="7" t="str"/>
      <x:c r="AB62" s="7" t="str"/>
    </x:row>
    <x:row r="63" ht="40.400001525878906" customHeight="1">
      <x:c r="A63" s="7" t="str">
        <x:v>2019年度</x:v>
      </x:c>
      <x:c r="B63" s="7" t="str">
        <x:v>年度</x:v>
      </x:c>
      <x:c r="C63" s="7" t="str">
        <x:v>ENV-C14</x:v>
      </x:c>
      <x:c r="D63" s="7" t="str">
        <x:v>しかおい水素ファーム</x:v>
      </x:c>
      <x:c r="E63" s="7" t="str">
        <x:v>一部需要地点への実証供給終了</x:v>
      </x:c>
      <x:c r="F63" s="7" t="str">
        <x:v>用途整理</x:v>
      </x:c>
      <x:c r="G63" s="7" t="str">
        <x:v>地域事例</x:v>
      </x:c>
      <x:c r="H63" s="7" t="str">
        <x:v>環境省</x:v>
      </x:c>
      <x:c r="I63" s="7" t="str">
        <x:v>北海道鹿追町・帯広等</x:v>
      </x:c>
      <x:c r="J63" s="7" t="str">
        <x:v>ENV-P10</x:v>
      </x:c>
      <x:c r="K63" s="18"/>
      <x:c r="L63" s="7" t="str"/>
      <x:c r="M63" s="18" t="n">
        <x:v>46326</x:v>
      </x:c>
      <x:c r="N63" s="7" t="str">
        <x:v>S170</x:v>
      </x:c>
      <x:c r="O63" s="7" t="str">
        <x:v>https://www.env.go.jp/seisaku/list/ondanka_saisei/lowcarbon-h2-sc/company/PDF/demonstration_02.pdf</x:v>
      </x:c>
      <x:c r="P63" s="7" t="str"/>
      <x:c r="Q63" s="7" t="str">
        <x:v>EV-1f718d51fc30</x:v>
      </x:c>
      <x:c r="R63" s="7" t="str">
        <x:v>ENV-C14</x:v>
      </x:c>
      <x:c r="S63" s="20" t="n">
        <x:v>2019</x:v>
      </x:c>
      <x:c r="T63" s="20" t="n">
        <x:v>4</x:v>
      </x:c>
      <x:c r="U63" s="7" t="str">
        <x:v>年度・年度末</x:v>
      </x:c>
      <x:c r="V63" s="18"/>
      <x:c r="W63" s="7" t="str">
        <x:v>SRC-8dbda88238</x:v>
      </x:c>
      <x:c r="X63" s="7" t="str"/>
      <x:c r="Y63" s="20" t="n">
        <x:v>56</x:v>
      </x:c>
      <x:c r="Z63" s="7" t="str"/>
      <x:c r="AA63" s="7" t="str"/>
      <x:c r="AB63" s="7" t="str"/>
    </x:row>
    <x:row r="64" ht="40.400001525878906" customHeight="1">
      <x:c r="A64" s="7" t="str">
        <x:v>2019年度</x:v>
      </x:c>
      <x:c r="B64" s="7" t="str">
        <x:v>年度</x:v>
      </x:c>
      <x:c r="C64" s="7" t="str">
        <x:v>ENV-C15</x:v>
      </x:c>
      <x:c r="D64" s="7" t="str">
        <x:v>周南・下関の副生水素モビリティ</x:v>
      </x:c>
      <x:c r="E64" s="7" t="str">
        <x:v>下関港FCフォークリフト実証運転終了</x:v>
      </x:c>
      <x:c r="F64" s="7" t="str">
        <x:v>用途終了</x:v>
      </x:c>
      <x:c r="G64" s="7" t="str">
        <x:v>地域事例</x:v>
      </x:c>
      <x:c r="H64" s="7" t="str">
        <x:v>環境省</x:v>
      </x:c>
      <x:c r="I64" s="7" t="str">
        <x:v>山口県周南市・下関市</x:v>
      </x:c>
      <x:c r="J64" s="7" t="str">
        <x:v>ENV-P10</x:v>
      </x:c>
      <x:c r="K64" s="18"/>
      <x:c r="L64" s="7" t="str"/>
      <x:c r="M64" s="18" t="n">
        <x:v>46326</x:v>
      </x:c>
      <x:c r="N64" s="7" t="str">
        <x:v>S171</x:v>
      </x:c>
      <x:c r="O64" s="7" t="str">
        <x:v>https://www.env.go.jp/seisaku/list/ondanka_saisei/lowcarbon-h2-sc/company/PDF/demonstration_03.pdf</x:v>
      </x:c>
      <x:c r="P64" s="7" t="str"/>
      <x:c r="Q64" s="7" t="str">
        <x:v>EV-25c656b88078</x:v>
      </x:c>
      <x:c r="R64" s="7" t="str">
        <x:v>ENV-C15</x:v>
      </x:c>
      <x:c r="S64" s="20" t="n">
        <x:v>2019</x:v>
      </x:c>
      <x:c r="T64" s="20" t="n">
        <x:v>4</x:v>
      </x:c>
      <x:c r="U64" s="7" t="str">
        <x:v>年度・年度末</x:v>
      </x:c>
      <x:c r="V64" s="18"/>
      <x:c r="W64" s="7" t="str">
        <x:v>SRC-75cbe03af4</x:v>
      </x:c>
      <x:c r="X64" s="7" t="str"/>
      <x:c r="Y64" s="20" t="n">
        <x:v>57</x:v>
      </x:c>
      <x:c r="Z64" s="7" t="str"/>
      <x:c r="AA64" s="7" t="str"/>
      <x:c r="AB64" s="7" t="str"/>
    </x:row>
    <x:row r="65" ht="40.400001525878906" customHeight="1">
      <x:c r="A65" s="7" t="str">
        <x:v>2019年度</x:v>
      </x:c>
      <x:c r="B65" s="7" t="str">
        <x:v>年度</x:v>
      </x:c>
      <x:c r="C65" s="7" t="str">
        <x:v>ENV-P02</x:v>
      </x:c>
      <x:c r="D65" s="7" t="str">
        <x:v>IoT活用グリーンスローモビリティの効果的運用実証・導入促進</x:v>
      </x:c>
      <x:c r="E65" s="7" t="str">
        <x:v>環境省がIoTを活用したグリーンスローモビリティの地域実証を開始。2021年度まで低速EVと予約 運営主体を検証。</x:v>
      </x:c>
      <x:c r="F65" s="7" t="str">
        <x:v>実証開始</x:v>
      </x:c>
      <x:c r="G65" s="7" t="str">
        <x:v>政策制度</x:v>
      </x:c>
      <x:c r="H65" s="7" t="str">
        <x:v>環境省</x:v>
      </x:c>
      <x:c r="I65" s="7" t="str"/>
      <x:c r="J65" s="7" t="str">
        <x:v>ENV-P02</x:v>
      </x:c>
      <x:c r="K65" s="18"/>
      <x:c r="L65" s="7" t="str"/>
      <x:c r="M65" s="18" t="n">
        <x:v>46326</x:v>
      </x:c>
      <x:c r="N65" s="7" t="str">
        <x:v>S146</x:v>
      </x:c>
      <x:c r="O65" s="7" t="str">
        <x:v>https://www.env.go.jp/content/000126068.pdf</x:v>
      </x:c>
      <x:c r="P65" s="7" t="str"/>
      <x:c r="Q65" s="7" t="str">
        <x:v>EV-27da2dcc7c89</x:v>
      </x:c>
      <x:c r="R65" s="7" t="str">
        <x:v>integrated</x:v>
      </x:c>
      <x:c r="S65" s="20" t="n">
        <x:v>2019</x:v>
      </x:c>
      <x:c r="T65" s="20" t="n">
        <x:v>4</x:v>
      </x:c>
      <x:c r="U65" s="7" t="str">
        <x:v>年度・年度末</x:v>
      </x:c>
      <x:c r="V65" s="18"/>
      <x:c r="W65" s="7" t="str">
        <x:v>SRC-34d5e30cc6</x:v>
      </x:c>
      <x:c r="X65" s="7" t="str"/>
      <x:c r="Y65" s="20" t="n">
        <x:v>58</x:v>
      </x:c>
      <x:c r="Z65" s="7" t="str"/>
      <x:c r="AA65" s="7" t="str"/>
      <x:c r="AB65" s="7" t="str"/>
    </x:row>
    <x:row r="66" ht="40.400001525878906" customHeight="1">
      <x:c r="A66" s="7" t="str">
        <x:v>2019年度</x:v>
      </x:c>
      <x:c r="B66" s="7" t="str">
        <x:v>年度</x:v>
      </x:c>
      <x:c r="C66" s="7" t="str">
        <x:v>meti_kyushu_v2g</x:v>
      </x:c>
      <x:c r="D66" s="7" t="str">
        <x:v>九州V2G</x:v>
      </x:c>
      <x:c r="E66" s="7" t="str">
        <x:v>6拠点16台規模の制御</x:v>
      </x:c>
      <x:c r="F66" s="7" t="str">
        <x:v>実証</x:v>
      </x:c>
      <x:c r="G66" s="7" t="str">
        <x:v>地域事例</x:v>
      </x:c>
      <x:c r="H66" s="7" t="str">
        <x:v>経済産業省</x:v>
      </x:c>
      <x:c r="I66" s="7" t="str">
        <x:v>九州6拠点</x:v>
      </x:c>
      <x:c r="J66" s="7" t="str">
        <x:v>vpp</x:v>
      </x:c>
      <x:c r="K66" s="18"/>
      <x:c r="L66" s="7" t="str"/>
      <x:c r="M66" s="18" t="n">
        <x:v>46326</x:v>
      </x:c>
      <x:c r="N66" s="7" t="str">
        <x:v>S197</x:v>
      </x:c>
      <x:c r="O66" s="7" t="str">
        <x:v>https://www.kyuden.co.jp/company/history/energy/technology/technology-2.html</x:v>
      </x:c>
      <x:c r="P66" s="7" t="str"/>
      <x:c r="Q66" s="7" t="str">
        <x:v>EV-e134b742e915</x:v>
      </x:c>
      <x:c r="R66" s="7" t="str">
        <x:v>meti_kyushu_v2g</x:v>
      </x:c>
      <x:c r="S66" s="20" t="n">
        <x:v>2019</x:v>
      </x:c>
      <x:c r="T66" s="20" t="n">
        <x:v>4</x:v>
      </x:c>
      <x:c r="U66" s="7" t="str">
        <x:v>年度・年度末</x:v>
      </x:c>
      <x:c r="V66" s="18"/>
      <x:c r="W66" s="7" t="str">
        <x:v>SRC-7647633cb4</x:v>
      </x:c>
      <x:c r="X66" s="7" t="str"/>
      <x:c r="Y66" s="20" t="n">
        <x:v>59</x:v>
      </x:c>
      <x:c r="Z66" s="7" t="str"/>
      <x:c r="AA66" s="7" t="str"/>
      <x:c r="AB66" s="7" t="str"/>
    </x:row>
    <x:row r="67" ht="30" customHeight="1">
      <x:c r="A67" s="7" t="str">
        <x:v>2019年4月1日</x:v>
      </x:c>
      <x:c r="B67" s="7" t="str">
        <x:v>日</x:v>
      </x:c>
      <x:c r="C67" s="7" t="str">
        <x:v>mlit_izuko</x:v>
      </x:c>
      <x:c r="D67" s="7" t="str">
        <x:v>観光型MaaS Izuko</x:v>
      </x:c>
      <x:c r="E67" s="7" t="str">
        <x:v>Phase1開始（6月30日まで）、専用アプリ</x:v>
      </x:c>
      <x:c r="F67" s="7" t="str">
        <x:v>実証</x:v>
      </x:c>
      <x:c r="G67" s="7" t="str">
        <x:v>地域事例</x:v>
      </x:c>
      <x:c r="H67" s="7" t="str">
        <x:v>国土交通省</x:v>
      </x:c>
      <x:c r="I67" s="7" t="str">
        <x:v>静岡県伊豆半島・静岡方面</x:v>
      </x:c>
      <x:c r="J67" s="7" t="str">
        <x:v>maas_japan</x:v>
      </x:c>
      <x:c r="K67" s="18" t="n">
        <x:v>43614</x:v>
      </x:c>
      <x:c r="L67" s="7" t="str">
        <x:v>2019-05-29</x:v>
      </x:c>
      <x:c r="M67" s="18" t="n">
        <x:v>46326</x:v>
      </x:c>
      <x:c r="N67" s="7" t="str">
        <x:v>S320</x:v>
      </x:c>
      <x:c r="O67" s="7" t="str">
        <x:v>https://www.tokyu.co.jp/company/news/pdf/20190529-1.pdf</x:v>
      </x:c>
      <x:c r="P67" s="7" t="str"/>
      <x:c r="Q67" s="7" t="str">
        <x:v>EV-e2b3e20bc8a5</x:v>
      </x:c>
      <x:c r="R67" s="7" t="str">
        <x:v>mlit_izuko</x:v>
      </x:c>
      <x:c r="S67" s="20" t="n">
        <x:v>2019</x:v>
      </x:c>
      <x:c r="T67" s="20" t="n">
        <x:v>4</x:v>
      </x:c>
      <x:c r="U67" s="7" t="str">
        <x:v>暦年・暦月</x:v>
      </x:c>
      <x:c r="V67" s="18" t="n">
        <x:v>43556</x:v>
      </x:c>
      <x:c r="W67" s="7" t="str">
        <x:v>SRC-72cd986399</x:v>
      </x:c>
      <x:c r="X67" s="7" t="str"/>
      <x:c r="Y67" s="20" t="n">
        <x:v>60</x:v>
      </x:c>
      <x:c r="Z67" s="7" t="str"/>
      <x:c r="AA67" s="7" t="str"/>
      <x:c r="AB67" s="7" t="str"/>
    </x:row>
    <x:row r="68" ht="40.400001525878906" customHeight="1">
      <x:c r="A68" s="7" t="str">
        <x:v>2019年度</x:v>
      </x:c>
      <x:c r="B68" s="7" t="str">
        <x:v>年度</x:v>
      </x:c>
      <x:c r="C68" s="7" t="str">
        <x:v>smc</x:v>
      </x:c>
      <x:c r="D68" s="7" t="str">
        <x:v>スマートモビリティチャレンジ／地域新MaaS創出推進事業</x:v>
      </x:c>
      <x:c r="E68" s="7" t="str">
        <x:v>スマートモビリティチャレンジと地域新MaaSの支援を開始。国交省と連携し経産省が地域実証と事業性を検証。</x:v>
      </x:c>
      <x:c r="F68" s="7" t="str">
        <x:v>事業開始</x:v>
      </x:c>
      <x:c r="G68" s="7" t="str">
        <x:v>政策制度</x:v>
      </x:c>
      <x:c r="H68" s="7" t="str">
        <x:v>経済産業省</x:v>
      </x:c>
      <x:c r="I68" s="7" t="str"/>
      <x:c r="J68" s="7" t="str">
        <x:v>smc</x:v>
      </x:c>
      <x:c r="K68" s="18" t="n">
        <x:v>44656</x:v>
      </x:c>
      <x:c r="L68" s="7" t="str">
        <x:v>2022-04-05</x:v>
      </x:c>
      <x:c r="M68" s="18" t="n">
        <x:v>46326</x:v>
      </x:c>
      <x:c r="N68" s="7" t="str">
        <x:v>S210</x:v>
      </x:c>
      <x:c r="O68" s="7" t="str">
        <x:v>https://www.meti.go.jp/policy/mono_info_service/smartcity/2022040508.pdf</x:v>
      </x:c>
      <x:c r="P68" s="7" t="str"/>
      <x:c r="Q68" s="7" t="str">
        <x:v>EV-f907a8d07f90</x:v>
      </x:c>
      <x:c r="R68" s="7" t="str">
        <x:v>integrated</x:v>
      </x:c>
      <x:c r="S68" s="20" t="n">
        <x:v>2019</x:v>
      </x:c>
      <x:c r="T68" s="20" t="n">
        <x:v>4</x:v>
      </x:c>
      <x:c r="U68" s="7" t="str">
        <x:v>年度・年度末</x:v>
      </x:c>
      <x:c r="V68" s="18"/>
      <x:c r="W68" s="7" t="str">
        <x:v>SRC-6985ffcd9c</x:v>
      </x:c>
      <x:c r="X68" s="7" t="str"/>
      <x:c r="Y68" s="20" t="n">
        <x:v>61</x:v>
      </x:c>
      <x:c r="Z68" s="7" t="str"/>
      <x:c r="AA68" s="7" t="str"/>
      <x:c r="AB68" s="7" t="str"/>
    </x:row>
    <x:row r="69" ht="30" customHeight="1">
      <x:c r="A69" s="7" t="str">
        <x:v>2019年4月2日</x:v>
      </x:c>
      <x:c r="B69" s="7" t="str">
        <x:v>日</x:v>
      </x:c>
      <x:c r="C69" s="7" t="str">
        <x:v>ENV-C05</x:v>
      </x:c>
      <x:c r="D69" s="7" t="str">
        <x:v>コトコト感幸バス</x:v>
      </x:c>
      <x:c r="E69" s="7" t="str">
        <x:v>短期無料実証開始</x:v>
      </x:c>
      <x:c r="F69" s="7" t="str">
        <x:v>実証</x:v>
      </x:c>
      <x:c r="G69" s="7" t="str">
        <x:v>地域事例</x:v>
      </x:c>
      <x:c r="H69" s="7" t="str">
        <x:v>環境省</x:v>
      </x:c>
      <x:c r="I69" s="7" t="str">
        <x:v>香川県琴平町</x:v>
      </x:c>
      <x:c r="J69" s="7" t="str">
        <x:v>ENV-P02</x:v>
      </x:c>
      <x:c r="K69" s="18"/>
      <x:c r="L69" s="7" t="str">
        <x:v>2019年</x:v>
      </x:c>
      <x:c r="M69" s="18" t="n">
        <x:v>46326</x:v>
      </x:c>
      <x:c r="N69" s="7" t="str">
        <x:v>S325</x:v>
      </x:c>
      <x:c r="O69" s="7" t="str">
        <x:v>https://www.town.kotohira.kagawa.jp/uploaded/attachment/2637.pdf</x:v>
      </x:c>
      <x:c r="P69" s="7" t="str"/>
      <x:c r="Q69" s="7" t="str">
        <x:v>EV-a4407d90f047</x:v>
      </x:c>
      <x:c r="R69" s="7" t="str">
        <x:v>ENV-C05</x:v>
      </x:c>
      <x:c r="S69" s="20" t="n">
        <x:v>2019</x:v>
      </x:c>
      <x:c r="T69" s="20" t="n">
        <x:v>4</x:v>
      </x:c>
      <x:c r="U69" s="7" t="str">
        <x:v>暦年・暦月</x:v>
      </x:c>
      <x:c r="V69" s="18" t="n">
        <x:v>43557</x:v>
      </x:c>
      <x:c r="W69" s="7" t="str">
        <x:v>SRC-267f5d2149</x:v>
      </x:c>
      <x:c r="X69" s="7" t="str"/>
      <x:c r="Y69" s="20" t="n">
        <x:v>62</x:v>
      </x:c>
      <x:c r="Z69" s="7" t="str"/>
      <x:c r="AA69" s="7" t="str"/>
      <x:c r="AB69" s="7" t="str"/>
    </x:row>
    <x:row r="70" ht="30" customHeight="1">
      <x:c r="A70" s="7" t="str">
        <x:v>2019年4月19日</x:v>
      </x:c>
      <x:c r="B70" s="7" t="str">
        <x:v>日</x:v>
      </x:c>
      <x:c r="C70" s="7" t="str">
        <x:v>mlit_fukuyama</x:v>
      </x:c>
      <x:c r="D70" s="7" t="str">
        <x:v>鞆の浦グリーンスローモビリティ</x:v>
      </x:c>
      <x:c r="E70" s="7" t="str">
        <x:v>タクシー事業として運行開始</x:v>
      </x:c>
      <x:c r="F70" s="7" t="str">
        <x:v>実装開始</x:v>
      </x:c>
      <x:c r="G70" s="7" t="str">
        <x:v>地域事例</x:v>
      </x:c>
      <x:c r="H70" s="7" t="str">
        <x:v>国土交通省</x:v>
      </x:c>
      <x:c r="I70" s="7" t="str">
        <x:v>広島県福山市</x:v>
      </x:c>
      <x:c r="J70" s="7" t="str">
        <x:v>gsm</x:v>
      </x:c>
      <x:c r="K70" s="18"/>
      <x:c r="L70" s="7" t="str"/>
      <x:c r="M70" s="18" t="n">
        <x:v>46326</x:v>
      </x:c>
      <x:c r="N70" s="7" t="str">
        <x:v>S002</x:v>
      </x:c>
      <x:c r="O70" s="7" t="str">
        <x:v>https://chushikoku.env.go.jp/content/000128710.pdf</x:v>
      </x:c>
      <x:c r="P70" s="7" t="str"/>
      <x:c r="Q70" s="7" t="str">
        <x:v>EV-e50c03d695eb</x:v>
      </x:c>
      <x:c r="R70" s="7" t="str">
        <x:v>mlit_fukuyama</x:v>
      </x:c>
      <x:c r="S70" s="20" t="n">
        <x:v>2019</x:v>
      </x:c>
      <x:c r="T70" s="20" t="n">
        <x:v>4</x:v>
      </x:c>
      <x:c r="U70" s="7" t="str">
        <x:v>暦年・暦月</x:v>
      </x:c>
      <x:c r="V70" s="18" t="n">
        <x:v>43574</x:v>
      </x:c>
      <x:c r="W70" s="7" t="str">
        <x:v>SRC-b3c49faa5c</x:v>
      </x:c>
      <x:c r="X70" s="7" t="str"/>
      <x:c r="Y70" s="20" t="n">
        <x:v>63</x:v>
      </x:c>
      <x:c r="Z70" s="7" t="str"/>
      <x:c r="AA70" s="7" t="str"/>
      <x:c r="AB70" s="7" t="str"/>
    </x:row>
    <x:row r="71" ht="30" customHeight="1">
      <x:c r="A71" s="7" t="str">
        <x:v>2019年5月</x:v>
      </x:c>
      <x:c r="B71" s="7" t="str">
        <x:v>月</x:v>
      </x:c>
      <x:c r="C71" s="7" t="str">
        <x:v>mlit_saitama</x:v>
      </x:c>
      <x:c r="D71" s="7" t="str">
        <x:v>美園 AIオンデマンド・ライフサポート型MaaS</x:v>
      </x:c>
      <x:c r="E71" s="7" t="str">
        <x:v>重点事業化促進プロジェクト選定</x:v>
      </x:c>
      <x:c r="F71" s="7" t="str">
        <x:v>採択</x:v>
      </x:c>
      <x:c r="G71" s="7" t="str">
        <x:v>地域事例</x:v>
      </x:c>
      <x:c r="H71" s="7" t="str">
        <x:v>国土交通省</x:v>
      </x:c>
      <x:c r="I71" s="7" t="str">
        <x:v>埼玉県さいたま市美園地区</x:v>
      </x:c>
      <x:c r="J71" s="7" t="str">
        <x:v>smartcity</x:v>
      </x:c>
      <x:c r="K71" s="18" t="str">
        <x:v>2021-08</x:v>
      </x:c>
      <x:c r="L71" s="7" t="str">
        <x:v>2021-08</x:v>
      </x:c>
      <x:c r="M71" s="18" t="n">
        <x:v>46326</x:v>
      </x:c>
      <x:c r="N71" s="7" t="str">
        <x:v>S276</x:v>
      </x:c>
      <x:c r="O71" s="7" t="str">
        <x:v>https://www.mlit.go.jp/toshi/tosiko/content/001475403.pdf</x:v>
      </x:c>
      <x:c r="P71" s="7" t="str"/>
      <x:c r="Q71" s="7" t="str">
        <x:v>EV-293c97dc9ae2</x:v>
      </x:c>
      <x:c r="R71" s="7" t="str">
        <x:v>mlit_saitama</x:v>
      </x:c>
      <x:c r="S71" s="20" t="n">
        <x:v>2019</x:v>
      </x:c>
      <x:c r="T71" s="20" t="n">
        <x:v>5</x:v>
      </x:c>
      <x:c r="U71" s="7" t="str">
        <x:v>暦年・暦月</x:v>
      </x:c>
      <x:c r="V71" s="18"/>
      <x:c r="W71" s="7" t="str">
        <x:v>SRC-b6d2a3cc97</x:v>
      </x:c>
      <x:c r="X71" s="7" t="str"/>
      <x:c r="Y71" s="20" t="n">
        <x:v>64</x:v>
      </x:c>
      <x:c r="Z71" s="7" t="str"/>
      <x:c r="AA71" s="7" t="str"/>
      <x:c r="AB71" s="7" t="str"/>
    </x:row>
    <x:row r="72" ht="54.599998474121094" customHeight="1">
      <x:c r="A72" s="7" t="str">
        <x:v>2019年6月7日</x:v>
      </x:c>
      <x:c r="B72" s="7" t="str">
        <x:v>日</x:v>
      </x:c>
      <x:c r="C72" s="7" t="str">
        <x:v>DIG-P01</x:v>
      </x:c>
      <x:c r="D72" s="7" t="str">
        <x:v>官民ITS構想・ロードマップ（前身政策）</x:v>
      </x:c>
      <x:c r="E72" s="7" t="str">
        <x:v>2019版で自動運転・データ等を更新。</x:v>
      </x:c>
      <x:c r="F72" s="7" t="str">
        <x:v>戦略公表</x:v>
      </x:c>
      <x:c r="G72" s="7" t="str">
        <x:v>政策制度</x:v>
      </x:c>
      <x:c r="H72" s="7" t="str">
        <x:v>内閣官房IT総合戦略室
IT総合戦略本部・官民データ活用推進戦略会議</x:v>
      </x:c>
      <x:c r="I72" s="7" t="str"/>
      <x:c r="J72" s="7" t="str">
        <x:v>DIG-P01</x:v>
      </x:c>
      <x:c r="K72" s="18" t="n">
        <x:v>43623</x:v>
      </x:c>
      <x:c r="L72" s="7" t="str">
        <x:v>2019-06-07</x:v>
      </x:c>
      <x:c r="M72" s="18" t="n">
        <x:v>46326</x:v>
      </x:c>
      <x:c r="N72" s="7" t="str">
        <x:v>S004</x:v>
      </x:c>
      <x:c r="O72" s="7" t="str">
        <x:v>https://cio.go.jp/sites/default/files/uploads/documents/its_roadmap_2019_point.pdf</x:v>
      </x:c>
      <x:c r="P72" s="7" t="str"/>
      <x:c r="Q72" s="7" t="str">
        <x:v>EV-1f72a9dd1136</x:v>
      </x:c>
      <x:c r="R72" s="7" t="str">
        <x:v>DIG-P01</x:v>
      </x:c>
      <x:c r="S72" s="20" t="n">
        <x:v>2019</x:v>
      </x:c>
      <x:c r="T72" s="20" t="n">
        <x:v>6</x:v>
      </x:c>
      <x:c r="U72" s="7" t="str">
        <x:v>暦年・暦月</x:v>
      </x:c>
      <x:c r="V72" s="18" t="n">
        <x:v>43623</x:v>
      </x:c>
      <x:c r="W72" s="7" t="str">
        <x:v>SRC-292f7ff35f</x:v>
      </x:c>
      <x:c r="X72" s="7" t="str"/>
      <x:c r="Y72" s="20" t="n">
        <x:v>65</x:v>
      </x:c>
      <x:c r="Z72" s="7" t="str"/>
      <x:c r="AA72" s="7" t="str"/>
      <x:c r="AB72" s="7" t="str"/>
    </x:row>
    <x:row r="73" ht="83" customHeight="1">
      <x:c r="A73" s="7" t="str">
        <x:v>2019年8月8日</x:v>
      </x:c>
      <x:c r="B73" s="7" t="str">
        <x:v>日</x:v>
      </x:c>
      <x:c r="C73" s="7" t="str">
        <x:v>DIG-P07</x:v>
      </x:c>
      <x:c r="D73" s="7" t="str">
        <x:v>スマートシティ官民連携プラットフォーム</x:v>
      </x:c>
      <x:c r="E73" s="7" t="str">
        <x:v>内閣府・総務省・経産省・国交省の4府省共同事務局で官民PF始動。</x:v>
      </x:c>
      <x:c r="F73" s="7" t="str">
        <x:v>基盤開始</x:v>
      </x:c>
      <x:c r="G73" s="7" t="str">
        <x:v>政策制度</x:v>
      </x:c>
      <x:c r="H73" s="7" t="str">
        <x:v>内閣府
総務省
経済産業省
国土交通省
デジタル庁（2022-02参加）</x:v>
      </x:c>
      <x:c r="I73" s="7" t="str"/>
      <x:c r="J73" s="7" t="str">
        <x:v>DIG-P07</x:v>
      </x:c>
      <x:c r="K73" s="18" t="n">
        <x:v>43685</x:v>
      </x:c>
      <x:c r="L73" s="7" t="str">
        <x:v>2019-08-08</x:v>
      </x:c>
      <x:c r="M73" s="18" t="n">
        <x:v>46326</x:v>
      </x:c>
      <x:c r="N73" s="7" t="str">
        <x:v>S331</x:v>
      </x:c>
      <x:c r="O73" s="7" t="str">
        <x:v>https://www8.cao.go.jp/cstp/stmain/2019808smartcity.html</x:v>
      </x:c>
      <x:c r="P73" s="7" t="str"/>
      <x:c r="Q73" s="7" t="str">
        <x:v>EV-75113df1cd35</x:v>
      </x:c>
      <x:c r="R73" s="7" t="str">
        <x:v>DIG-P07</x:v>
      </x:c>
      <x:c r="S73" s="20" t="n">
        <x:v>2019</x:v>
      </x:c>
      <x:c r="T73" s="20" t="n">
        <x:v>8</x:v>
      </x:c>
      <x:c r="U73" s="7" t="str">
        <x:v>暦年・暦月</x:v>
      </x:c>
      <x:c r="V73" s="18" t="n">
        <x:v>43685</x:v>
      </x:c>
      <x:c r="W73" s="7" t="str">
        <x:v>SRC-a45d8967c7</x:v>
      </x:c>
      <x:c r="X73" s="7" t="str"/>
      <x:c r="Y73" s="20" t="n">
        <x:v>66</x:v>
      </x:c>
      <x:c r="Z73" s="7" t="str"/>
      <x:c r="AA73" s="7" t="str"/>
      <x:c r="AB73" s="7" t="str"/>
    </x:row>
    <x:row r="74" ht="30" customHeight="1">
      <x:c r="A74" s="7" t="str">
        <x:v>2019年10月</x:v>
      </x:c>
      <x:c r="B74" s="7" t="str">
        <x:v>月</x:v>
      </x:c>
      <x:c r="C74" s="7" t="str">
        <x:v>meti_fukushima_rtf</x:v>
      </x:c>
      <x:c r="D74" s="7" t="str">
        <x:v>福島RTFドローン運航管理</x:v>
      </x:c>
      <x:c r="E74" s="7" t="str">
        <x:v>福島RTF高密度試験</x:v>
      </x:c>
      <x:c r="F74" s="7" t="str">
        <x:v>実証</x:v>
      </x:c>
      <x:c r="G74" s="7" t="str">
        <x:v>地域事例</x:v>
      </x:c>
      <x:c r="H74" s="7" t="str">
        <x:v>経済産業省</x:v>
      </x:c>
      <x:c r="I74" s="7" t="str">
        <x:v>福島県南相馬市等</x:v>
      </x:c>
      <x:c r="J74" s="7" t="str">
        <x:v>dress</x:v>
      </x:c>
      <x:c r="K74" s="18" t="n">
        <x:v>44165</x:v>
      </x:c>
      <x:c r="L74" s="7" t="str">
        <x:v>2020-11-30</x:v>
      </x:c>
      <x:c r="M74" s="18" t="n">
        <x:v>46326</x:v>
      </x:c>
      <x:c r="N74" s="7" t="str">
        <x:v>S291</x:v>
      </x:c>
      <x:c r="O74" s="7" t="str">
        <x:v>https://www.nedo.go.jp/news/press/AA5_101385.html</x:v>
      </x:c>
      <x:c r="P74" s="7" t="str"/>
      <x:c r="Q74" s="7" t="str">
        <x:v>EV-0b6f37a24dd6</x:v>
      </x:c>
      <x:c r="R74" s="7" t="str">
        <x:v>meti_fukushima_rtf</x:v>
      </x:c>
      <x:c r="S74" s="20" t="n">
        <x:v>2019</x:v>
      </x:c>
      <x:c r="T74" s="20" t="n">
        <x:v>10</x:v>
      </x:c>
      <x:c r="U74" s="7" t="str">
        <x:v>暦年・暦月</x:v>
      </x:c>
      <x:c r="V74" s="18"/>
      <x:c r="W74" s="7" t="str">
        <x:v>SRC-f1d7b73408</x:v>
      </x:c>
      <x:c r="X74" s="7" t="str"/>
      <x:c r="Y74" s="20" t="n">
        <x:v>67</x:v>
      </x:c>
      <x:c r="Z74" s="7" t="str"/>
      <x:c r="AA74" s="7" t="str"/>
      <x:c r="AB74" s="7" t="str"/>
    </x:row>
    <x:row r="75" ht="54.599998474121094" customHeight="1">
      <x:c r="A75" s="7" t="str">
        <x:v>2019年11月1日</x:v>
      </x:c>
      <x:c r="B75" s="7" t="str">
        <x:v>日</x:v>
      </x:c>
      <x:c r="C75" s="7" t="str">
        <x:v>DIG-P02</x:v>
      </x:c>
      <x:c r="D75" s="7" t="str">
        <x:v>SIP第1期 自動走行システム</x:v>
      </x:c>
      <x:c r="E75" s="7" t="str">
        <x:v>成果事例で高速道路等3万kmの高精度3D地図商用配信を公表。</x:v>
      </x:c>
      <x:c r="F75" s="7" t="str">
        <x:v>成果報告</x:v>
      </x:c>
      <x:c r="G75" s="7" t="str">
        <x:v>政策制度</x:v>
      </x:c>
      <x:c r="H75" s="7" t="str">
        <x:v>内閣府CSTI
NEDO
警察庁・総務省・経済産業省・国土交通省</x:v>
      </x:c>
      <x:c r="I75" s="7" t="str"/>
      <x:c r="J75" s="7" t="str">
        <x:v>DIG-P02</x:v>
      </x:c>
      <x:c r="K75" s="18" t="n">
        <x:v>43770</x:v>
      </x:c>
      <x:c r="L75" s="7" t="str">
        <x:v>2019-11-01</x:v>
      </x:c>
      <x:c r="M75" s="18" t="n">
        <x:v>46326</x:v>
      </x:c>
      <x:c r="N75" s="7" t="str">
        <x:v>S330</x:v>
      </x:c>
      <x:c r="O75" s="7" t="str">
        <x:v>https://www5.cao.go.jp/keizai-shimon/kaigi/special/reform/wg7/20191101/shiryou1_part5.pdf</x:v>
      </x:c>
      <x:c r="P75" s="7" t="str"/>
      <x:c r="Q75" s="7" t="str">
        <x:v>EV-08ea63a25ff8</x:v>
      </x:c>
      <x:c r="R75" s="7" t="str">
        <x:v>DIG-P02</x:v>
      </x:c>
      <x:c r="S75" s="20" t="n">
        <x:v>2019</x:v>
      </x:c>
      <x:c r="T75" s="20" t="n">
        <x:v>11</x:v>
      </x:c>
      <x:c r="U75" s="7" t="str">
        <x:v>暦年・暦月</x:v>
      </x:c>
      <x:c r="V75" s="18" t="n">
        <x:v>43770</x:v>
      </x:c>
      <x:c r="W75" s="7" t="str">
        <x:v>SRC-5383f67624</x:v>
      </x:c>
      <x:c r="X75" s="7" t="str"/>
      <x:c r="Y75" s="20" t="n">
        <x:v>68</x:v>
      </x:c>
      <x:c r="Z75" s="7" t="str"/>
      <x:c r="AA75" s="7" t="str"/>
      <x:c r="AB75" s="7" t="str"/>
    </x:row>
    <x:row r="76" ht="40.400001525878906" customHeight="1">
      <x:c r="A76" s="7" t="str">
        <x:v>2019年11月</x:v>
      </x:c>
      <x:c r="B76" s="7" t="str">
        <x:v>月</x:v>
      </x:c>
      <x:c r="C76" s="7" t="str">
        <x:v>mlit_conpas</x:v>
      </x:c>
      <x:c r="D76" s="7" t="str">
        <x:v>横浜港CONPAS</x:v>
      </x:c>
      <x:c r="E76" s="7" t="str">
        <x:v>南本牧・本牧へ試験拡大</x:v>
      </x:c>
      <x:c r="F76" s="7" t="str">
        <x:v>実証拡大</x:v>
      </x:c>
      <x:c r="G76" s="7" t="str">
        <x:v>地域事例</x:v>
      </x:c>
      <x:c r="H76" s="7" t="str">
        <x:v>国土交通省港湾局・関東地方整備局
国土交通省</x:v>
      </x:c>
      <x:c r="I76" s="7" t="str">
        <x:v>神奈川県横浜港南本牧・本牧</x:v>
      </x:c>
      <x:c r="J76" s="7" t="str">
        <x:v>portdx</x:v>
      </x:c>
      <x:c r="K76" s="18" t="str">
        <x:v>2021-03</x:v>
      </x:c>
      <x:c r="L76" s="7" t="str">
        <x:v>2021-03</x:v>
      </x:c>
      <x:c r="M76" s="18" t="n">
        <x:v>46326</x:v>
      </x:c>
      <x:c r="N76" s="7" t="str">
        <x:v>S301</x:v>
      </x:c>
      <x:c r="O76" s="7" t="str">
        <x:v>https://www.pa.hrr.mlit.go.jp/file/kouwanshinkou/butsuryu/butsuryu-kanri/upload/R2_08.pdf</x:v>
      </x:c>
      <x:c r="P76" s="7" t="str"/>
      <x:c r="Q76" s="7" t="str">
        <x:v>EV-f8c95c00c1de</x:v>
      </x:c>
      <x:c r="R76" s="7" t="str">
        <x:v>mlit_conpas</x:v>
      </x:c>
      <x:c r="S76" s="20" t="n">
        <x:v>2019</x:v>
      </x:c>
      <x:c r="T76" s="20" t="n">
        <x:v>11</x:v>
      </x:c>
      <x:c r="U76" s="7" t="str">
        <x:v>暦年・暦月</x:v>
      </x:c>
      <x:c r="V76" s="18"/>
      <x:c r="W76" s="7" t="str">
        <x:v>SRC-13881242c6</x:v>
      </x:c>
      <x:c r="X76" s="7" t="str"/>
      <x:c r="Y76" s="20" t="n">
        <x:v>69</x:v>
      </x:c>
      <x:c r="Z76" s="7" t="str"/>
      <x:c r="AA76" s="7" t="str"/>
      <x:c r="AB76" s="7" t="str"/>
    </x:row>
    <x:row r="77" ht="40.400001525878906" customHeight="1">
      <x:c r="A77" s="7" t="str">
        <x:v>2019年11月15日</x:v>
      </x:c>
      <x:c r="B77" s="7" t="str">
        <x:v>日</x:v>
      </x:c>
      <x:c r="C77" s="7" t="str">
        <x:v>mlit_okueigenji</x:v>
      </x:c>
      <x:c r="D77" s="7" t="str">
        <x:v>奥永源寺渓流の里 自動運転</x:v>
      </x:c>
      <x:c r="E77" s="7" t="str">
        <x:v>長期実験開始（12月20日まで）</x:v>
      </x:c>
      <x:c r="F77" s="7" t="str">
        <x:v>長期実証</x:v>
      </x:c>
      <x:c r="G77" s="7" t="str">
        <x:v>地域事例</x:v>
      </x:c>
      <x:c r="H77" s="7" t="str">
        <x:v>国土交通省近畿地方整備局
国土交通省</x:v>
      </x:c>
      <x:c r="I77" s="7" t="str">
        <x:v>滋賀県東近江市</x:v>
      </x:c>
      <x:c r="J77" s="7" t="str">
        <x:v>roadstation</x:v>
      </x:c>
      <x:c r="K77" s="18" t="n">
        <x:v>43776</x:v>
      </x:c>
      <x:c r="L77" s="7" t="str">
        <x:v>2019-11-07</x:v>
      </x:c>
      <x:c r="M77" s="18" t="n">
        <x:v>46326</x:v>
      </x:c>
      <x:c r="N77" s="7" t="str">
        <x:v>S190</x:v>
      </x:c>
      <x:c r="O77" s="7" t="str">
        <x:v>https://www.kkr.mlit.go.jp/news/top/press/2019/sih68m0000001y8m-att/191107-2jidouunten.pdf</x:v>
      </x:c>
      <x:c r="P77" s="7" t="str"/>
      <x:c r="Q77" s="7" t="str">
        <x:v>EV-38269d416d9b</x:v>
      </x:c>
      <x:c r="R77" s="7" t="str">
        <x:v>mlit_okueigenji</x:v>
      </x:c>
      <x:c r="S77" s="20" t="n">
        <x:v>2019</x:v>
      </x:c>
      <x:c r="T77" s="20" t="n">
        <x:v>11</x:v>
      </x:c>
      <x:c r="U77" s="7" t="str">
        <x:v>暦年・暦月</x:v>
      </x:c>
      <x:c r="V77" s="18" t="n">
        <x:v>43784</x:v>
      </x:c>
      <x:c r="W77" s="7" t="str">
        <x:v>SRC-a094a2d09e</x:v>
      </x:c>
      <x:c r="X77" s="7" t="str"/>
      <x:c r="Y77" s="20" t="n">
        <x:v>70</x:v>
      </x:c>
      <x:c r="Z77" s="7" t="str"/>
      <x:c r="AA77" s="7" t="str"/>
      <x:c r="AB77" s="7" t="str"/>
    </x:row>
    <x:row r="78" ht="30" customHeight="1">
      <x:c r="A78" s="7" t="str">
        <x:v>2019年11月26日</x:v>
      </x:c>
      <x:c r="B78" s="7" t="str">
        <x:v>日</x:v>
      </x:c>
      <x:c r="C78" s="7" t="str">
        <x:v>ENV-C02</x:v>
      </x:c>
      <x:c r="D78" s="7" t="str">
        <x:v>いわき・トイボ</x:v>
      </x:c>
      <x:c r="E78" s="7" t="str">
        <x:v>小名浜で実証開始</x:v>
      </x:c>
      <x:c r="F78" s="7" t="str">
        <x:v>実証</x:v>
      </x:c>
      <x:c r="G78" s="7" t="str">
        <x:v>地域事例</x:v>
      </x:c>
      <x:c r="H78" s="7" t="str">
        <x:v>環境省</x:v>
      </x:c>
      <x:c r="I78" s="7" t="str">
        <x:v>福島県いわき市</x:v>
      </x:c>
      <x:c r="J78" s="7" t="str">
        <x:v>ENV-P02</x:v>
      </x:c>
      <x:c r="K78" s="18" t="n">
        <x:v>43788</x:v>
      </x:c>
      <x:c r="L78" s="7" t="str">
        <x:v>2019-11-19</x:v>
      </x:c>
      <x:c r="M78" s="18" t="n">
        <x:v>46326</x:v>
      </x:c>
      <x:c r="N78" s="7" t="str">
        <x:v>S316</x:v>
      </x:c>
      <x:c r="O78" s="7" t="str">
        <x:v>https://www.softbank.jp/corp/news/press/sbkk/2019/20191119_01/</x:v>
      </x:c>
      <x:c r="P78" s="7" t="str"/>
      <x:c r="Q78" s="7" t="str">
        <x:v>EV-c9d8eb575594</x:v>
      </x:c>
      <x:c r="R78" s="7" t="str">
        <x:v>ENV-C02</x:v>
      </x:c>
      <x:c r="S78" s="20" t="n">
        <x:v>2019</x:v>
      </x:c>
      <x:c r="T78" s="20" t="n">
        <x:v>11</x:v>
      </x:c>
      <x:c r="U78" s="7" t="str">
        <x:v>暦年・暦月</x:v>
      </x:c>
      <x:c r="V78" s="18" t="n">
        <x:v>43795</x:v>
      </x:c>
      <x:c r="W78" s="7" t="str">
        <x:v>SRC-ecd3d8505b</x:v>
      </x:c>
      <x:c r="X78" s="7" t="str"/>
      <x:c r="Y78" s="20" t="n">
        <x:v>71</x:v>
      </x:c>
      <x:c r="Z78" s="7" t="str"/>
      <x:c r="AA78" s="7" t="str"/>
      <x:c r="AB78" s="7" t="str"/>
    </x:row>
    <x:row r="79" ht="139.8000030517578" customHeight="1">
      <x:c r="A79" s="7" t="str">
        <x:v>2019-11-30</x:v>
      </x:c>
      <x:c r="B79" s="7" t="str">
        <x:v>日</x:v>
      </x:c>
      <x:c r="C79" s="7" t="str">
        <x:v>mlit_kamikoani</x:v>
      </x:c>
      <x:c r="D79" s="7" t="str">
        <x:v>道の駅かみこあに 自動運転サービス</x:v>
      </x:c>
      <x:c r="E79" s="7" t="str">
        <x:v>道の駅かみこあにを拠点とする本格サービスを開始。国交省道路局とSIP2の環境整備が重なる</x:v>
      </x:c>
      <x:c r="F79" s="7" t="str">
        <x:v>本格サービス開始</x:v>
      </x:c>
      <x:c r="G79" s="7" t="str">
        <x:v>地域事例</x:v>
      </x:c>
      <x:c r="H79" s="7" t="str">
        <x:v>国土交通省・SIP
国土交通省道路局
内閣府SIP2
内閣府CSTI
NEDO
関係省庁
国土交通省
内閣府・総務省・デジタル庁等
横断検証（個別所管は資料参照）</x:v>
      </x:c>
      <x:c r="I79" s="7" t="str">
        <x:v>秋田県上小阿仁村</x:v>
      </x:c>
      <x:c r="J79" s="7" t="str">
        <x:v>roadstation</x:v>
      </x:c>
      <x:c r="K79" s="18" t="n">
        <x:v>43791</x:v>
      </x:c>
      <x:c r="L79" s="7" t="str">
        <x:v>2019-11-22</x:v>
      </x:c>
      <x:c r="M79" s="18" t="n">
        <x:v>46326</x:v>
      </x:c>
      <x:c r="N79" s="7" t="str">
        <x:v>S023
S245</x:v>
      </x:c>
      <x:c r="O79" s="7" t="str">
        <x:v>https://michinoeki-kamikoani.jp/self_driving_service/</x:v>
      </x:c>
      <x:c r="P79" s="7" t="str">
        <x:v>同一期間内の厳密な前後関係は日付精度により未確定
同一事象の複数記録を統合。元イベントID・日付精度・出典別公表日は右欄に保持。</x:v>
      </x:c>
      <x:c r="Q79" s="7" t="str">
        <x:v>EV-03a5de66fa8d</x:v>
      </x:c>
      <x:c r="R79" s="7" t="str">
        <x:v>V-C14
mlit_kamikoani
DIG-C02</x:v>
      </x:c>
      <x:c r="S79" s="20" t="n">
        <x:v>2019</x:v>
      </x:c>
      <x:c r="T79" s="20" t="n">
        <x:v>11</x:v>
      </x:c>
      <x:c r="U79" s="7" t="str">
        <x:v>暦年・暦月</x:v>
      </x:c>
      <x:c r="V79" s="18" t="n">
        <x:v>43799</x:v>
      </x:c>
      <x:c r="W79" s="7" t="str">
        <x:v>SRC-2a4e51c86c
SRC-d434c18491</x:v>
      </x:c>
      <x:c r="X79" s="7" t="str">
        <x:v>https://www.mlit.go.jp/report/press/road01_hh_001258.html</x:v>
      </x:c>
      <x:c r="Y79" s="20" t="n">
        <x:v>72</x:v>
      </x:c>
      <x:c r="Z79" s="7" t="str">
        <x:v>EV-01dc17131493
EV-c99a2e0f918b
EV-e107bd715c83</x:v>
      </x:c>
      <x:c r="AA79" s="7" t="str">
        <x:v>S023：公表日不明
S245：2019-11-22
S245：2019-11</x:v>
      </x:c>
      <x:c r="AB79" s="7" t="str">
        <x:v>EV-01dc17131493：2019年11月（月）
EV-c99a2e0f918b：2019年11月30日（日）
EV-e107bd715c83：2019年11月30日（日）</x:v>
      </x:c>
    </x:row>
    <x:row r="80" ht="54.599998474121094" customHeight="1">
      <x:c r="A80" s="7" t="str">
        <x:v>2019年11月30日</x:v>
      </x:c>
      <x:c r="B80" s="7" t="str">
        <x:v>日</x:v>
      </x:c>
      <x:c r="C80" s="7" t="str">
        <x:v>DIG-P03</x:v>
      </x:c>
      <x:c r="D80" s="7" t="str">
        <x:v>SIP第2期 自動運転（システムとサービスの拡張）</x:v>
      </x:c>
      <x:c r="E80" s="7" t="str">
        <x:v>道の駅かみこあにで環境整備事業による本格導入開始。</x:v>
      </x:c>
      <x:c r="F80" s="7" t="str">
        <x:v>地域サービス開始</x:v>
      </x:c>
      <x:c r="G80" s="7" t="str">
        <x:v>政策制度</x:v>
      </x:c>
      <x:c r="H80" s="7" t="str">
        <x:v>内閣府CSTI
NEDO
関係省庁</x:v>
      </x:c>
      <x:c r="I80" s="7" t="str"/>
      <x:c r="J80" s="7" t="str">
        <x:v>DIG-P03</x:v>
      </x:c>
      <x:c r="K80" s="18" t="str">
        <x:v>2019-11</x:v>
      </x:c>
      <x:c r="L80" s="7" t="str">
        <x:v>2019-11</x:v>
      </x:c>
      <x:c r="M80" s="18" t="n">
        <x:v>46326</x:v>
      </x:c>
      <x:c r="N80" s="7" t="str">
        <x:v>S245</x:v>
      </x:c>
      <x:c r="O80" s="7" t="str">
        <x:v>https://www.mlit.go.jp/report/press/road01_hh_001258.html</x:v>
      </x:c>
      <x:c r="P80" s="7" t="str"/>
      <x:c r="Q80" s="7" t="str">
        <x:v>EV-d73597cd545d</x:v>
      </x:c>
      <x:c r="R80" s="7" t="str">
        <x:v>DIG-P03</x:v>
      </x:c>
      <x:c r="S80" s="20" t="n">
        <x:v>2019</x:v>
      </x:c>
      <x:c r="T80" s="20" t="n">
        <x:v>11</x:v>
      </x:c>
      <x:c r="U80" s="7" t="str">
        <x:v>暦年・暦月</x:v>
      </x:c>
      <x:c r="V80" s="18" t="n">
        <x:v>43799</x:v>
      </x:c>
      <x:c r="W80" s="7" t="str">
        <x:v>SRC-d434c18491</x:v>
      </x:c>
      <x:c r="X80" s="7" t="str"/>
      <x:c r="Y80" s="20" t="n">
        <x:v>73</x:v>
      </x:c>
      <x:c r="Z80" s="7" t="str"/>
      <x:c r="AA80" s="7" t="str"/>
      <x:c r="AB80" s="7" t="str"/>
    </x:row>
    <x:row r="81" ht="30" customHeight="1">
      <x:c r="A81" s="7" t="str">
        <x:v>2019年12月1日</x:v>
      </x:c>
      <x:c r="B81" s="7" t="str">
        <x:v>日</x:v>
      </x:c>
      <x:c r="C81" s="7" t="str">
        <x:v>mlit_izuko</x:v>
      </x:c>
      <x:c r="D81" s="7" t="str">
        <x:v>観光型MaaS Izuko</x:v>
      </x:c>
      <x:c r="E81" s="7" t="str">
        <x:v>Phase2開始、購入不振等を受けウェブ方式へ</x:v>
      </x:c>
      <x:c r="F81" s="7" t="str">
        <x:v>設計変更・実証</x:v>
      </x:c>
      <x:c r="G81" s="7" t="str">
        <x:v>地域事例</x:v>
      </x:c>
      <x:c r="H81" s="7" t="str">
        <x:v>国土交通省</x:v>
      </x:c>
      <x:c r="I81" s="7" t="str">
        <x:v>静岡県伊豆半島・静岡方面</x:v>
      </x:c>
      <x:c r="J81" s="7" t="str">
        <x:v>maas_japan</x:v>
      </x:c>
      <x:c r="K81" s="18" t="n">
        <x:v>44313</x:v>
      </x:c>
      <x:c r="L81" s="7" t="str">
        <x:v>2021-04-27</x:v>
      </x:c>
      <x:c r="M81" s="18" t="n">
        <x:v>46326</x:v>
      </x:c>
      <x:c r="N81" s="7" t="str">
        <x:v>S321</x:v>
      </x:c>
      <x:c r="O81" s="7" t="str">
        <x:v>https://www.tokyu.co.jp/company/news/pdf/20210427-1.pdf</x:v>
      </x:c>
      <x:c r="P81" s="7" t="str"/>
      <x:c r="Q81" s="7" t="str">
        <x:v>EV-9353a1be3517</x:v>
      </x:c>
      <x:c r="R81" s="7" t="str">
        <x:v>mlit_izuko</x:v>
      </x:c>
      <x:c r="S81" s="20" t="n">
        <x:v>2019</x:v>
      </x:c>
      <x:c r="T81" s="20" t="n">
        <x:v>12</x:v>
      </x:c>
      <x:c r="U81" s="7" t="str">
        <x:v>暦年・暦月</x:v>
      </x:c>
      <x:c r="V81" s="18" t="n">
        <x:v>43800</x:v>
      </x:c>
      <x:c r="W81" s="7" t="str">
        <x:v>SRC-ee011dca8a</x:v>
      </x:c>
      <x:c r="X81" s="7" t="str"/>
      <x:c r="Y81" s="20" t="n">
        <x:v>74</x:v>
      </x:c>
      <x:c r="Z81" s="7" t="str"/>
      <x:c r="AA81" s="7" t="str"/>
      <x:c r="AB81" s="7" t="str"/>
    </x:row>
    <x:row r="82" ht="40.400001525878906" customHeight="1">
      <x:c r="A82" s="7" t="str">
        <x:v>2019年12月</x:v>
      </x:c>
      <x:c r="B82" s="7" t="str">
        <x:v>月</x:v>
      </x:c>
      <x:c r="C82" s="7" t="str">
        <x:v>meti_kyushu_v2g</x:v>
      </x:c>
      <x:c r="D82" s="7" t="str">
        <x:v>九州V2G</x:v>
      </x:c>
      <x:c r="E82" s="7" t="str">
        <x:v>EV所有者664人の受容調査</x:v>
      </x:c>
      <x:c r="F82" s="7" t="str">
        <x:v>調査</x:v>
      </x:c>
      <x:c r="G82" s="7" t="str">
        <x:v>地域事例</x:v>
      </x:c>
      <x:c r="H82" s="7" t="str">
        <x:v>経済産業省</x:v>
      </x:c>
      <x:c r="I82" s="7" t="str">
        <x:v>九州6拠点</x:v>
      </x:c>
      <x:c r="J82" s="7" t="str">
        <x:v>vpp</x:v>
      </x:c>
      <x:c r="K82" s="18" t="str">
        <x:v>2021-08</x:v>
      </x:c>
      <x:c r="L82" s="7" t="str">
        <x:v>2021-08</x:v>
      </x:c>
      <x:c r="M82" s="18" t="n">
        <x:v>46326</x:v>
      </x:c>
      <x:c r="N82" s="7" t="str">
        <x:v>S007</x:v>
      </x:c>
      <x:c r="O82" s="7" t="str">
        <x:v>https://criepi.denken.or.jp/hokokusho/pb/reportDetail?reportNoUkCode=GD21001</x:v>
      </x:c>
      <x:c r="P82" s="7" t="str">
        <x:v>同一期間内の厳密な前後関係は日付精度により未確定</x:v>
      </x:c>
      <x:c r="Q82" s="7" t="str">
        <x:v>EV-f9f4af3ee70c</x:v>
      </x:c>
      <x:c r="R82" s="7" t="str">
        <x:v>meti_kyushu_v2g</x:v>
      </x:c>
      <x:c r="S82" s="20" t="n">
        <x:v>2019</x:v>
      </x:c>
      <x:c r="T82" s="20" t="n">
        <x:v>12</x:v>
      </x:c>
      <x:c r="U82" s="7" t="str">
        <x:v>暦年・暦月</x:v>
      </x:c>
      <x:c r="V82" s="18"/>
      <x:c r="W82" s="7" t="str">
        <x:v>SRC-ae053c7dd8</x:v>
      </x:c>
      <x:c r="X82" s="7" t="str"/>
      <x:c r="Y82" s="20" t="n">
        <x:v>75</x:v>
      </x:c>
      <x:c r="Z82" s="7" t="str"/>
      <x:c r="AA82" s="7" t="str"/>
      <x:c r="AB82" s="7" t="str"/>
    </x:row>
    <x:row r="83" ht="30" customHeight="1">
      <x:c r="A83" s="7" t="str">
        <x:v>2019年12月9日</x:v>
      </x:c>
      <x:c r="B83" s="7" t="str">
        <x:v>日</x:v>
      </x:c>
      <x:c r="C83" s="7" t="str">
        <x:v>ENV-C01</x:v>
      </x:c>
      <x:c r="D83" s="7" t="str">
        <x:v>南花台クルクル</x:v>
      </x:c>
      <x:c r="E83" s="7" t="str">
        <x:v>クルクル実証開始</x:v>
      </x:c>
      <x:c r="F83" s="7" t="str">
        <x:v>実証</x:v>
      </x:c>
      <x:c r="G83" s="7" t="str">
        <x:v>地域事例</x:v>
      </x:c>
      <x:c r="H83" s="7" t="str">
        <x:v>環境省</x:v>
      </x:c>
      <x:c r="I83" s="7" t="str">
        <x:v>大阪府河内長野市</x:v>
      </x:c>
      <x:c r="J83" s="7" t="str">
        <x:v>ENV-P02</x:v>
      </x:c>
      <x:c r="K83" s="18"/>
      <x:c r="L83" s="7" t="str"/>
      <x:c r="M83" s="18" t="n">
        <x:v>46326</x:v>
      </x:c>
      <x:c r="N83" s="7" t="str">
        <x:v>S073</x:v>
      </x:c>
      <x:c r="O83" s="7" t="str">
        <x:v>https://www.city.kawachinagano.lg.jp/soshiki/2/34689.html</x:v>
      </x:c>
      <x:c r="P83" s="7" t="str"/>
      <x:c r="Q83" s="7" t="str">
        <x:v>EV-8218cf64be6c</x:v>
      </x:c>
      <x:c r="R83" s="7" t="str">
        <x:v>ENV-C01</x:v>
      </x:c>
      <x:c r="S83" s="20" t="n">
        <x:v>2019</x:v>
      </x:c>
      <x:c r="T83" s="20" t="n">
        <x:v>12</x:v>
      </x:c>
      <x:c r="U83" s="7" t="str">
        <x:v>暦年・暦月</x:v>
      </x:c>
      <x:c r="V83" s="18" t="n">
        <x:v>43808</x:v>
      </x:c>
      <x:c r="W83" s="7" t="str">
        <x:v>SRC-8055476fc0</x:v>
      </x:c>
      <x:c r="X83" s="7" t="str"/>
      <x:c r="Y83" s="20" t="n">
        <x:v>76</x:v>
      </x:c>
      <x:c r="Z83" s="7" t="str"/>
      <x:c r="AA83" s="7" t="str"/>
      <x:c r="AB83" s="7" t="str"/>
    </x:row>
    <x:row r="84" ht="30" customHeight="1">
      <x:c r="A84" s="7" t="str">
        <x:v>2019年12月16日</x:v>
      </x:c>
      <x:c r="B84" s="7" t="str">
        <x:v>日</x:v>
      </x:c>
      <x:c r="C84" s="7" t="str">
        <x:v>ENV-C04</x:v>
      </x:c>
      <x:c r="D84" s="7" t="str">
        <x:v>石見銀山ぎんざんカート</x:v>
      </x:c>
      <x:c r="E84" s="7" t="str">
        <x:v>環境省IoT実証開始</x:v>
      </x:c>
      <x:c r="F84" s="7" t="str">
        <x:v>実証</x:v>
      </x:c>
      <x:c r="G84" s="7" t="str">
        <x:v>地域事例</x:v>
      </x:c>
      <x:c r="H84" s="7" t="str">
        <x:v>環境省</x:v>
      </x:c>
      <x:c r="I84" s="7" t="str">
        <x:v>島根県大田市</x:v>
      </x:c>
      <x:c r="J84" s="7" t="str">
        <x:v>ENV-P02</x:v>
      </x:c>
      <x:c r="K84" s="18"/>
      <x:c r="L84" s="7" t="str"/>
      <x:c r="M84" s="18" t="n">
        <x:v>46326</x:v>
      </x:c>
      <x:c r="N84" s="7" t="str">
        <x:v>S146</x:v>
      </x:c>
      <x:c r="O84" s="7" t="str">
        <x:v>https://www.env.go.jp/content/000126068.pdf</x:v>
      </x:c>
      <x:c r="P84" s="7" t="str"/>
      <x:c r="Q84" s="7" t="str">
        <x:v>EV-9d8ed07d2133</x:v>
      </x:c>
      <x:c r="R84" s="7" t="str">
        <x:v>ENV-C04</x:v>
      </x:c>
      <x:c r="S84" s="20" t="n">
        <x:v>2019</x:v>
      </x:c>
      <x:c r="T84" s="20" t="n">
        <x:v>12</x:v>
      </x:c>
      <x:c r="U84" s="7" t="str">
        <x:v>暦年・暦月</x:v>
      </x:c>
      <x:c r="V84" s="18" t="n">
        <x:v>43815</x:v>
      </x:c>
      <x:c r="W84" s="7" t="str">
        <x:v>SRC-34d5e30cc6</x:v>
      </x:c>
      <x:c r="X84" s="7" t="str"/>
      <x:c r="Y84" s="20" t="n">
        <x:v>77</x:v>
      </x:c>
      <x:c r="Z84" s="7" t="str"/>
      <x:c r="AA84" s="7" t="str"/>
      <x:c r="AB84" s="7" t="str"/>
    </x:row>
    <x:row r="85" ht="40.400001525878906" customHeight="1">
      <x:c r="A85" s="7" t="str">
        <x:v>2020年1月</x:v>
      </x:c>
      <x:c r="B85" s="7" t="str">
        <x:v>月</x:v>
      </x:c>
      <x:c r="C85" s="7" t="str">
        <x:v>ENV-C19</x:v>
      </x:c>
      <x:c r="D85" s="7" t="str">
        <x:v>郵便配送の交換式電動二輪</x:v>
      </x:c>
      <x:c r="E85" s="7" t="str">
        <x:v>電動二輪配備開始</x:v>
      </x:c>
      <x:c r="F85" s="7" t="str">
        <x:v>配備</x:v>
      </x:c>
      <x:c r="G85" s="7" t="str">
        <x:v>地域事例</x:v>
      </x:c>
      <x:c r="H85" s="7" t="str">
        <x:v>環境省等
環境省</x:v>
      </x:c>
      <x:c r="I85" s="7" t="str">
        <x:v>全国・首都圏と一部地方都市</x:v>
      </x:c>
      <x:c r="J85" s="7" t="str">
        <x:v>ENV-P07</x:v>
      </x:c>
      <x:c r="K85" s="18"/>
      <x:c r="L85" s="7" t="str">
        <x:v>2021年</x:v>
      </x:c>
      <x:c r="M85" s="18" t="n">
        <x:v>46326</x:v>
      </x:c>
      <x:c r="N85" s="7" t="str">
        <x:v>S160</x:v>
      </x:c>
      <x:c r="O85" s="7" t="str">
        <x:v>https://www.env.go.jp/policy/hakusyo/r03/html/hj21010201.html</x:v>
      </x:c>
      <x:c r="P85" s="7" t="str"/>
      <x:c r="Q85" s="7" t="str">
        <x:v>EV-56e1fa705d7c</x:v>
      </x:c>
      <x:c r="R85" s="7" t="str">
        <x:v>ENV-C19</x:v>
      </x:c>
      <x:c r="S85" s="20" t="n">
        <x:v>2020</x:v>
      </x:c>
      <x:c r="T85" s="20" t="n">
        <x:v>1</x:v>
      </x:c>
      <x:c r="U85" s="7" t="str">
        <x:v>暦年・暦月</x:v>
      </x:c>
      <x:c r="V85" s="18"/>
      <x:c r="W85" s="7" t="str">
        <x:v>SRC-0bd9935111</x:v>
      </x:c>
      <x:c r="X85" s="7" t="str"/>
      <x:c r="Y85" s="20" t="n">
        <x:v>78</x:v>
      </x:c>
      <x:c r="Z85" s="7" t="str"/>
      <x:c r="AA85" s="7" t="str"/>
      <x:c r="AB85" s="7" t="str"/>
    </x:row>
    <x:row r="86" ht="40.400001525878906" customHeight="1">
      <x:c r="A86" s="7" t="str">
        <x:v>2020年</x:v>
      </x:c>
      <x:c r="B86" s="7" t="str">
        <x:v>年</x:v>
      </x:c>
      <x:c r="C86" s="7" t="str"/>
      <x:c r="D86" s="7" t="str">
        <x:v>国土交通省の政策動向</x:v>
      </x:c>
      <x:c r="E86" s="7" t="str">
        <x:v>MaaS36地域と新モビリティ支援。Izukoは方式・地域を改め反復実験。</x:v>
      </x:c>
      <x:c r="F86" s="7" t="str"/>
      <x:c r="G86" s="7" t="str">
        <x:v>政策制度</x:v>
      </x:c>
      <x:c r="H86" s="7" t="str">
        <x:v>国土交通省</x:v>
      </x:c>
      <x:c r="I86" s="7" t="str"/>
      <x:c r="J86" s="7" t="str"/>
      <x:c r="K86" s="18"/>
      <x:c r="L86" s="7" t="str"/>
      <x:c r="M86" s="18" t="n">
        <x:v>46326</x:v>
      </x:c>
      <x:c r="N86" s="7" t="str">
        <x:v>S272
S321</x:v>
      </x:c>
      <x:c r="O86" s="7" t="str">
        <x:v>https://www.mlit.go.jp/sogoseisaku/transport/sosei_transport_tk_000193.html</x:v>
      </x:c>
      <x:c r="P86" s="7" t="str"/>
      <x:c r="Q86" s="7" t="str">
        <x:v>EV-7f51d41a4f65</x:v>
      </x:c>
      <x:c r="R86" s="7" t="str">
        <x:v>mlit</x:v>
      </x:c>
      <x:c r="S86" s="20" t="n">
        <x:v>2020</x:v>
      </x:c>
      <x:c r="T86" s="20" t="n">
        <x:v>1</x:v>
      </x:c>
      <x:c r="U86" s="7" t="str">
        <x:v>暦年・暦月</x:v>
      </x:c>
      <x:c r="V86" s="18"/>
      <x:c r="W86" s="7" t="str">
        <x:v>SRC-d2c785b30a
SRC-ee011dca8a</x:v>
      </x:c>
      <x:c r="X86" s="7" t="str">
        <x:v>https://www.tokyu.co.jp/company/news/pdf/20210427-1.pdf</x:v>
      </x:c>
      <x:c r="Y86" s="20" t="n">
        <x:v>79</x:v>
      </x:c>
      <x:c r="Z86" s="7" t="str"/>
      <x:c r="AA86" s="7" t="str"/>
      <x:c r="AB86" s="7" t="str"/>
    </x:row>
    <x:row r="87" ht="54.599998474121094" customHeight="1">
      <x:c r="A87" s="7" t="str">
        <x:v>2020年</x:v>
      </x:c>
      <x:c r="B87" s="7" t="str">
        <x:v>年</x:v>
      </x:c>
      <x:c r="C87" s="7" t="str">
        <x:v>DIG-P01</x:v>
      </x:c>
      <x:c r="D87" s="7" t="str">
        <x:v>官民ITS構想・ロードマップ（前身政策）</x:v>
      </x:c>
      <x:c r="E87" s="7" t="str">
        <x:v>2020版でデータ連携・共通アーキテクチャを推進。</x:v>
      </x:c>
      <x:c r="F87" s="7" t="str">
        <x:v>戦略公表</x:v>
      </x:c>
      <x:c r="G87" s="7" t="str">
        <x:v>政策制度</x:v>
      </x:c>
      <x:c r="H87" s="7" t="str">
        <x:v>内閣官房IT総合戦略室
IT総合戦略本部・官民データ活用推進戦略会議</x:v>
      </x:c>
      <x:c r="I87" s="7" t="str"/>
      <x:c r="J87" s="7" t="str">
        <x:v>DIG-P01</x:v>
      </x:c>
      <x:c r="K87" s="18" t="str">
        <x:v>2020</x:v>
      </x:c>
      <x:c r="L87" s="7" t="str">
        <x:v>2020</x:v>
      </x:c>
      <x:c r="M87" s="18" t="n">
        <x:v>46326</x:v>
      </x:c>
      <x:c r="N87" s="7" t="str">
        <x:v>S005</x:v>
      </x:c>
      <x:c r="O87" s="7" t="str">
        <x:v>https://cio.go.jp/sites/default/files/uploads/documents/its_roadmap_2020.pdf</x:v>
      </x:c>
      <x:c r="P87" s="7" t="str"/>
      <x:c r="Q87" s="7" t="str">
        <x:v>EV-968674c34481</x:v>
      </x:c>
      <x:c r="R87" s="7" t="str">
        <x:v>DIG-P01</x:v>
      </x:c>
      <x:c r="S87" s="20" t="n">
        <x:v>2020</x:v>
      </x:c>
      <x:c r="T87" s="20" t="n">
        <x:v>1</x:v>
      </x:c>
      <x:c r="U87" s="7" t="str">
        <x:v>暦年・暦月</x:v>
      </x:c>
      <x:c r="V87" s="18"/>
      <x:c r="W87" s="7" t="str">
        <x:v>SRC-81c89f14ae</x:v>
      </x:c>
      <x:c r="X87" s="7" t="str"/>
      <x:c r="Y87" s="20" t="n">
        <x:v>80</x:v>
      </x:c>
      <x:c r="Z87" s="7" t="str"/>
      <x:c r="AA87" s="7" t="str"/>
      <x:c r="AB87" s="7" t="str"/>
    </x:row>
    <x:row r="88" ht="30" customHeight="1">
      <x:c r="A88" s="7" t="str">
        <x:v>2020年</x:v>
      </x:c>
      <x:c r="B88" s="7" t="str">
        <x:v>年（概数）</x:v>
      </x:c>
      <x:c r="C88" s="7" t="str">
        <x:v>ENV-C18</x:v>
      </x:c>
      <x:c r="D88" s="7" t="str">
        <x:v>電車回生電力とEVバス超急速充電</x:v>
      </x:c>
      <x:c r="E88" s="7" t="str">
        <x:v>コロナ中断中の電池機能不全、原因解析と対策</x:v>
      </x:c>
      <x:c r="F88" s="7" t="str">
        <x:v>技術課題</x:v>
      </x:c>
      <x:c r="G88" s="7" t="str">
        <x:v>地域事例</x:v>
      </x:c>
      <x:c r="H88" s="7" t="str">
        <x:v>環境省</x:v>
      </x:c>
      <x:c r="I88" s="7" t="str">
        <x:v>埼玉県さいたま市浦和美園</x:v>
      </x:c>
      <x:c r="J88" s="7" t="str">
        <x:v>ENV-P09</x:v>
      </x:c>
      <x:c r="K88" s="18"/>
      <x:c r="L88" s="7" t="str"/>
      <x:c r="M88" s="18" t="n">
        <x:v>46326</x:v>
      </x:c>
      <x:c r="N88" s="7" t="str">
        <x:v>S158</x:v>
      </x:c>
      <x:c r="O88" s="7" t="str">
        <x:v>https://www.env.go.jp/earth/ondanka/cpttv_funds/pdf/db/222.pdf</x:v>
      </x:c>
      <x:c r="P88" s="7" t="str"/>
      <x:c r="Q88" s="7" t="str">
        <x:v>EV-dc49e206d711</x:v>
      </x:c>
      <x:c r="R88" s="7" t="str">
        <x:v>ENV-C18</x:v>
      </x:c>
      <x:c r="S88" s="20" t="n">
        <x:v>2020</x:v>
      </x:c>
      <x:c r="T88" s="20" t="n">
        <x:v>1</x:v>
      </x:c>
      <x:c r="U88" s="7" t="str">
        <x:v>暦年・暦月</x:v>
      </x:c>
      <x:c r="V88" s="18"/>
      <x:c r="W88" s="7" t="str">
        <x:v>SRC-b7e7392af8</x:v>
      </x:c>
      <x:c r="X88" s="7" t="str"/>
      <x:c r="Y88" s="20" t="n">
        <x:v>81</x:v>
      </x:c>
      <x:c r="Z88" s="7" t="str"/>
      <x:c r="AA88" s="7" t="str"/>
      <x:c r="AB88" s="7" t="str"/>
    </x:row>
    <x:row r="89" ht="30" customHeight="1">
      <x:c r="A89" s="7" t="str">
        <x:v>2020年2月</x:v>
      </x:c>
      <x:c r="B89" s="7" t="str">
        <x:v>月</x:v>
      </x:c>
      <x:c r="C89" s="7" t="str">
        <x:v>ENV-C06</x:v>
      </x:c>
      <x:c r="D89" s="7" t="str">
        <x:v>由布院ノルク</x:v>
      </x:c>
      <x:c r="E89" s="7" t="str">
        <x:v>導入・利用案内</x:v>
      </x:c>
      <x:c r="F89" s="7" t="str">
        <x:v>実証開始</x:v>
      </x:c>
      <x:c r="G89" s="7" t="str">
        <x:v>地域事例</x:v>
      </x:c>
      <x:c r="H89" s="7" t="str">
        <x:v>環境省</x:v>
      </x:c>
      <x:c r="I89" s="7" t="str">
        <x:v>大分県由布市</x:v>
      </x:c>
      <x:c r="J89" s="7" t="str">
        <x:v>ENV-P02</x:v>
      </x:c>
      <x:c r="K89" s="18" t="n">
        <x:v>43868</x:v>
      </x:c>
      <x:c r="L89" s="7" t="str">
        <x:v>2020-02-07</x:v>
      </x:c>
      <x:c r="M89" s="18" t="n">
        <x:v>46326</x:v>
      </x:c>
      <x:c r="N89" s="7" t="str">
        <x:v>S124</x:v>
      </x:c>
      <x:c r="O89" s="7" t="str">
        <x:v>https://www.city.yufu.oita.jp/newly/nolk-2</x:v>
      </x:c>
      <x:c r="P89" s="7" t="str"/>
      <x:c r="Q89" s="7" t="str">
        <x:v>EV-bd89cf4222a7</x:v>
      </x:c>
      <x:c r="R89" s="7" t="str">
        <x:v>ENV-C06</x:v>
      </x:c>
      <x:c r="S89" s="20" t="n">
        <x:v>2020</x:v>
      </x:c>
      <x:c r="T89" s="20" t="n">
        <x:v>2</x:v>
      </x:c>
      <x:c r="U89" s="7" t="str">
        <x:v>暦年・暦月</x:v>
      </x:c>
      <x:c r="V89" s="18"/>
      <x:c r="W89" s="7" t="str">
        <x:v>SRC-e3d9f28a4b</x:v>
      </x:c>
      <x:c r="X89" s="7" t="str"/>
      <x:c r="Y89" s="20" t="n">
        <x:v>82</x:v>
      </x:c>
      <x:c r="Z89" s="7" t="str"/>
      <x:c r="AA89" s="7" t="str"/>
      <x:c r="AB89" s="7" t="str"/>
    </x:row>
    <x:row r="90" ht="54.599998474121094" customHeight="1">
      <x:c r="A90" s="7" t="str">
        <x:v>2020年3月18日</x:v>
      </x:c>
      <x:c r="B90" s="7" t="str">
        <x:v>日</x:v>
      </x:c>
      <x:c r="C90" s="7" t="str">
        <x:v>DIG-P08</x:v>
      </x:c>
      <x:c r="D90" s="7" t="str">
        <x:v>スマートシティ・リファレンスアーキテクチャ／ガイドブック</x:v>
      </x:c>
      <x:c r="E90" s="7" t="str">
        <x:v>SIP成果としてスマートシティ参照アーキテクチャ・ガイドブック第1版公開。</x:v>
      </x:c>
      <x:c r="F90" s="7" t="str">
        <x:v>標準公表</x:v>
      </x:c>
      <x:c r="G90" s="7" t="str">
        <x:v>政策制度</x:v>
      </x:c>
      <x:c r="H90" s="7" t="str">
        <x:v>内閣府
SIP2サイバー空間基盤
関係府省</x:v>
      </x:c>
      <x:c r="I90" s="7" t="str"/>
      <x:c r="J90" s="7" t="str">
        <x:v>DIG-P08</x:v>
      </x:c>
      <x:c r="K90" s="18" t="n">
        <x:v>43908</x:v>
      </x:c>
      <x:c r="L90" s="7" t="str">
        <x:v>2020-03-18</x:v>
      </x:c>
      <x:c r="M90" s="18" t="n">
        <x:v>46326</x:v>
      </x:c>
      <x:c r="N90" s="7" t="str">
        <x:v>S332</x:v>
      </x:c>
      <x:c r="O90" s="7" t="str">
        <x:v>https://www8.cao.go.jp/cstp/stmain/20200318siparchitecture.html</x:v>
      </x:c>
      <x:c r="P90" s="7" t="str"/>
      <x:c r="Q90" s="7" t="str">
        <x:v>EV-32f14c382d8e</x:v>
      </x:c>
      <x:c r="R90" s="7" t="str">
        <x:v>DIG-P08</x:v>
      </x:c>
      <x:c r="S90" s="20" t="n">
        <x:v>2020</x:v>
      </x:c>
      <x:c r="T90" s="20" t="n">
        <x:v>3</x:v>
      </x:c>
      <x:c r="U90" s="7" t="str">
        <x:v>暦年・暦月</x:v>
      </x:c>
      <x:c r="V90" s="18" t="n">
        <x:v>43908</x:v>
      </x:c>
      <x:c r="W90" s="7" t="str">
        <x:v>SRC-fa7a544041</x:v>
      </x:c>
      <x:c r="X90" s="7" t="str"/>
      <x:c r="Y90" s="20" t="n">
        <x:v>83</x:v>
      </x:c>
      <x:c r="Z90" s="7" t="str"/>
      <x:c r="AA90" s="7" t="str"/>
      <x:c r="AB90" s="7" t="str"/>
    </x:row>
    <x:row r="91" ht="40.400001525878906" customHeight="1">
      <x:c r="A91" s="7" t="str">
        <x:v>2020年度</x:v>
      </x:c>
      <x:c r="B91" s="7" t="str">
        <x:v>年度</x:v>
      </x:c>
      <x:c r="C91" s="7" t="str">
        <x:v>meti_kosai</x:v>
      </x:c>
      <x:c r="D91" s="7" t="str">
        <x:v>企業シャトルBaaS</x:v>
      </x:c>
      <x:c r="E91" s="7" t="str">
        <x:v>企業シャトル活用実証開始</x:v>
      </x:c>
      <x:c r="F91" s="7" t="str">
        <x:v>実証</x:v>
      </x:c>
      <x:c r="G91" s="7" t="str">
        <x:v>地域事例</x:v>
      </x:c>
      <x:c r="H91" s="7" t="str">
        <x:v>経済産業省</x:v>
      </x:c>
      <x:c r="I91" s="7" t="str">
        <x:v>静岡県湖西市</x:v>
      </x:c>
      <x:c r="J91" s="7" t="str">
        <x:v>smc</x:v>
      </x:c>
      <x:c r="K91" s="18" t="n">
        <x:v>46000</x:v>
      </x:c>
      <x:c r="L91" s="7" t="str">
        <x:v>2025-12-09</x:v>
      </x:c>
      <x:c r="M91" s="18" t="n">
        <x:v>46326</x:v>
      </x:c>
      <x:c r="N91" s="7" t="str">
        <x:v>S079</x:v>
      </x:c>
      <x:c r="O91" s="7" t="str">
        <x:v>https://www.city.kosai.shizuoka.jp/material/files/group/26/shiryou1sannkou.pdf</x:v>
      </x:c>
      <x:c r="P91" s="7" t="str"/>
      <x:c r="Q91" s="7" t="str">
        <x:v>EV-0e3ba6d45af0</x:v>
      </x:c>
      <x:c r="R91" s="7" t="str">
        <x:v>meti_kosai</x:v>
      </x:c>
      <x:c r="S91" s="20" t="n">
        <x:v>2020</x:v>
      </x:c>
      <x:c r="T91" s="20" t="n">
        <x:v>4</x:v>
      </x:c>
      <x:c r="U91" s="7" t="str">
        <x:v>年度・年度末</x:v>
      </x:c>
      <x:c r="V91" s="18"/>
      <x:c r="W91" s="7" t="str">
        <x:v>SRC-65d143b215</x:v>
      </x:c>
      <x:c r="X91" s="7" t="str"/>
      <x:c r="Y91" s="20" t="n">
        <x:v>84</x:v>
      </x:c>
      <x:c r="Z91" s="7" t="str"/>
      <x:c r="AA91" s="7" t="str"/>
      <x:c r="AB91" s="7" t="str"/>
    </x:row>
    <x:row r="92" ht="40.400001525878906" customHeight="1">
      <x:c r="A92" s="7" t="str">
        <x:v>2020年度</x:v>
      </x:c>
      <x:c r="B92" s="7" t="str">
        <x:v>年度</x:v>
      </x:c>
      <x:c r="C92" s="7" t="str">
        <x:v>ENV-C19</x:v>
      </x:c>
      <x:c r="D92" s="7" t="str">
        <x:v>郵便配送の交換式電動二輪</x:v>
      </x:c>
      <x:c r="E92" s="7" t="str">
        <x:v>環境省2000台支援</x:v>
      </x:c>
      <x:c r="F92" s="7" t="str">
        <x:v>導入支援</x:v>
      </x:c>
      <x:c r="G92" s="7" t="str">
        <x:v>地域事例</x:v>
      </x:c>
      <x:c r="H92" s="7" t="str">
        <x:v>環境省等
環境省</x:v>
      </x:c>
      <x:c r="I92" s="7" t="str">
        <x:v>全国・首都圏と一部地方都市</x:v>
      </x:c>
      <x:c r="J92" s="7" t="str">
        <x:v>ENV-P07</x:v>
      </x:c>
      <x:c r="K92" s="18"/>
      <x:c r="L92" s="7" t="str">
        <x:v>2021年</x:v>
      </x:c>
      <x:c r="M92" s="18" t="n">
        <x:v>46326</x:v>
      </x:c>
      <x:c r="N92" s="7" t="str">
        <x:v>S160</x:v>
      </x:c>
      <x:c r="O92" s="7" t="str">
        <x:v>https://www.env.go.jp/policy/hakusyo/r03/html/hj21010201.html</x:v>
      </x:c>
      <x:c r="P92" s="7" t="str"/>
      <x:c r="Q92" s="7" t="str">
        <x:v>EV-13679859a1a2</x:v>
      </x:c>
      <x:c r="R92" s="7" t="str">
        <x:v>ENV-C19</x:v>
      </x:c>
      <x:c r="S92" s="20" t="n">
        <x:v>2020</x:v>
      </x:c>
      <x:c r="T92" s="20" t="n">
        <x:v>4</x:v>
      </x:c>
      <x:c r="U92" s="7" t="str">
        <x:v>年度・年度末</x:v>
      </x:c>
      <x:c r="V92" s="18"/>
      <x:c r="W92" s="7" t="str">
        <x:v>SRC-0bd9935111</x:v>
      </x:c>
      <x:c r="X92" s="7" t="str"/>
      <x:c r="Y92" s="20" t="n">
        <x:v>85</x:v>
      </x:c>
      <x:c r="Z92" s="7" t="str"/>
      <x:c r="AA92" s="7" t="str"/>
      <x:c r="AB92" s="7" t="str"/>
    </x:row>
    <x:row r="93" ht="40.400001525878906" customHeight="1">
      <x:c r="A93" s="7" t="str">
        <x:v>2020年度</x:v>
      </x:c>
      <x:c r="B93" s="7" t="str">
        <x:v>年度</x:v>
      </x:c>
      <x:c r="C93" s="7" t="str">
        <x:v>ENV-C13</x:v>
      </x:c>
      <x:c r="D93" s="7" t="str">
        <x:v>風力水素・FCフォークリフト物流</x:v>
      </x:c>
      <x:c r="E93" s="7" t="str">
        <x:v>実証終了・課題整理</x:v>
      </x:c>
      <x:c r="F93" s="7" t="str">
        <x:v>終了評価</x:v>
      </x:c>
      <x:c r="G93" s="7" t="str">
        <x:v>地域事例</x:v>
      </x:c>
      <x:c r="H93" s="7" t="str">
        <x:v>環境省</x:v>
      </x:c>
      <x:c r="I93" s="7" t="str">
        <x:v>神奈川県横浜市・川崎市</x:v>
      </x:c>
      <x:c r="J93" s="7" t="str">
        <x:v>ENV-P10</x:v>
      </x:c>
      <x:c r="K93" s="18"/>
      <x:c r="L93" s="7" t="str"/>
      <x:c r="M93" s="18" t="n">
        <x:v>46326</x:v>
      </x:c>
      <x:c r="N93" s="7" t="str">
        <x:v>S169</x:v>
      </x:c>
      <x:c r="O93" s="7" t="str">
        <x:v>https://www.env.go.jp/seisaku/list/ondanka_saisei/lowcarbon-h2-sc/company/PDF/demonstration_01.pdf</x:v>
      </x:c>
      <x:c r="P93" s="7" t="str"/>
      <x:c r="Q93" s="7" t="str">
        <x:v>EV-1eb0f19e51ae</x:v>
      </x:c>
      <x:c r="R93" s="7" t="str">
        <x:v>ENV-C13</x:v>
      </x:c>
      <x:c r="S93" s="20" t="n">
        <x:v>2020</x:v>
      </x:c>
      <x:c r="T93" s="20" t="n">
        <x:v>4</x:v>
      </x:c>
      <x:c r="U93" s="7" t="str">
        <x:v>年度・年度末</x:v>
      </x:c>
      <x:c r="V93" s="18"/>
      <x:c r="W93" s="7" t="str">
        <x:v>SRC-a622b09291</x:v>
      </x:c>
      <x:c r="X93" s="7" t="str"/>
      <x:c r="Y93" s="20" t="n">
        <x:v>86</x:v>
      </x:c>
      <x:c r="Z93" s="7" t="str"/>
      <x:c r="AA93" s="7" t="str"/>
      <x:c r="AB93" s="7" t="str"/>
    </x:row>
    <x:row r="94" ht="40.400001525878906" customHeight="1">
      <x:c r="A94" s="7" t="str">
        <x:v>2020年4月</x:v>
      </x:c>
      <x:c r="B94" s="7" t="str">
        <x:v>月</x:v>
      </x:c>
      <x:c r="C94" s="7" t="str">
        <x:v>V-C13</x:v>
      </x:c>
      <x:c r="D94" s="7" t="str">
        <x:v>熊本5社共同経営</x:v>
      </x:c>
      <x:c r="E94" s="7" t="str">
        <x:v>共同経営準備室</x:v>
      </x:c>
      <x:c r="F94" s="7" t="str">
        <x:v>準備室</x:v>
      </x:c>
      <x:c r="G94" s="7" t="str">
        <x:v>地域事例</x:v>
      </x:c>
      <x:c r="H94" s="7" t="str">
        <x:v>横断検証（個別所管は資料参照）</x:v>
      </x:c>
      <x:c r="I94" s="7" t="str">
        <x:v>熊本県熊本市</x:v>
      </x:c>
      <x:c r="J94" s="7" t="str"/>
      <x:c r="K94" s="18"/>
      <x:c r="L94" s="7" t="str"/>
      <x:c r="M94" s="18" t="n">
        <x:v>46326</x:v>
      </x:c>
      <x:c r="N94" s="7" t="str">
        <x:v>S082</x:v>
      </x:c>
      <x:c r="O94" s="7" t="str">
        <x:v>https://www.city.kumamoto.jp/kiji0032432/3_2432_495498_up_emz8jvz1.pdf</x:v>
      </x:c>
      <x:c r="P94" s="7" t="str"/>
      <x:c r="Q94" s="7" t="str">
        <x:v>EV-2b81d71b44f4</x:v>
      </x:c>
      <x:c r="R94" s="7" t="str">
        <x:v>V-C13</x:v>
      </x:c>
      <x:c r="S94" s="20" t="n">
        <x:v>2020</x:v>
      </x:c>
      <x:c r="T94" s="20" t="n">
        <x:v>4</x:v>
      </x:c>
      <x:c r="U94" s="7" t="str">
        <x:v>暦年・暦月</x:v>
      </x:c>
      <x:c r="V94" s="18"/>
      <x:c r="W94" s="7" t="str">
        <x:v>SRC-25815fa80f</x:v>
      </x:c>
      <x:c r="X94" s="7" t="str"/>
      <x:c r="Y94" s="20" t="n">
        <x:v>87</x:v>
      </x:c>
      <x:c r="Z94" s="7" t="str"/>
      <x:c r="AA94" s="7" t="str"/>
      <x:c r="AB94" s="7" t="str"/>
    </x:row>
    <x:row r="95" ht="40.400001525878906" customHeight="1">
      <x:c r="A95" s="7" t="str">
        <x:v>2020年度</x:v>
      </x:c>
      <x:c r="B95" s="7" t="str">
        <x:v>年度</x:v>
      </x:c>
      <x:c r="C95" s="7" t="str">
        <x:v>mlit_komono</x:v>
      </x:c>
      <x:c r="D95" s="7" t="str">
        <x:v>菰野町MaaS おでかけこもの</x:v>
      </x:c>
      <x:c r="E95" s="7" t="str">
        <x:v>MaaSアプリ展開</x:v>
      </x:c>
      <x:c r="F95" s="7" t="str">
        <x:v>導入</x:v>
      </x:c>
      <x:c r="G95" s="7" t="str">
        <x:v>地域事例</x:v>
      </x:c>
      <x:c r="H95" s="7" t="str">
        <x:v>国土交通省
経済産業省</x:v>
      </x:c>
      <x:c r="I95" s="7" t="str">
        <x:v>三重県菰野町</x:v>
      </x:c>
      <x:c r="J95" s="7" t="str">
        <x:v>smc</x:v>
      </x:c>
      <x:c r="K95" s="18"/>
      <x:c r="L95" s="7" t="str"/>
      <x:c r="M95" s="18" t="n">
        <x:v>46326</x:v>
      </x:c>
      <x:c r="N95" s="7" t="str">
        <x:v>S281</x:v>
      </x:c>
      <x:c r="O95" s="7" t="str">
        <x:v>https://www.mobilitychallenge.go.jp/introduction/</x:v>
      </x:c>
      <x:c r="P95" s="7" t="str"/>
      <x:c r="Q95" s="7" t="str">
        <x:v>EV-3db3c93d2b18</x:v>
      </x:c>
      <x:c r="R95" s="7" t="str">
        <x:v>meti_komono</x:v>
      </x:c>
      <x:c r="S95" s="20" t="n">
        <x:v>2020</x:v>
      </x:c>
      <x:c r="T95" s="20" t="n">
        <x:v>4</x:v>
      </x:c>
      <x:c r="U95" s="7" t="str">
        <x:v>年度・年度末</x:v>
      </x:c>
      <x:c r="V95" s="18"/>
      <x:c r="W95" s="7" t="str">
        <x:v>SRC-ac2f0f15e2</x:v>
      </x:c>
      <x:c r="X95" s="7" t="str"/>
      <x:c r="Y95" s="20" t="n">
        <x:v>88</x:v>
      </x:c>
      <x:c r="Z95" s="7" t="str"/>
      <x:c r="AA95" s="7" t="str"/>
      <x:c r="AB95" s="7" t="str"/>
    </x:row>
    <x:row r="96" ht="30" customHeight="1">
      <x:c r="A96" s="7" t="str">
        <x:v>2020年度</x:v>
      </x:c>
      <x:c r="B96" s="7" t="str">
        <x:v>年度</x:v>
      </x:c>
      <x:c r="C96" s="7" t="str">
        <x:v>vpp</x:v>
      </x:c>
      <x:c r="D96" s="7" t="str">
        <x:v>VPP構築実証・V2G</x:v>
      </x:c>
      <x:c r="E96" s="7" t="str">
        <x:v>2016年度から続くVPP構築実証の最終年度。EVを含む分散資源の調整力と接続条件を評価。</x:v>
      </x:c>
      <x:c r="F96" s="7" t="str">
        <x:v>事業最終年度</x:v>
      </x:c>
      <x:c r="G96" s="7" t="str">
        <x:v>政策制度</x:v>
      </x:c>
      <x:c r="H96" s="7" t="str">
        <x:v>経済産業省</x:v>
      </x:c>
      <x:c r="I96" s="7" t="str"/>
      <x:c r="J96" s="7" t="str">
        <x:v>vpp</x:v>
      </x:c>
      <x:c r="K96" s="18" t="str">
        <x:v>2021</x:v>
      </x:c>
      <x:c r="L96" s="7" t="str">
        <x:v>2021</x:v>
      </x:c>
      <x:c r="M96" s="18" t="n">
        <x:v>46326</x:v>
      </x:c>
      <x:c r="N96" s="7" t="str">
        <x:v>S202</x:v>
      </x:c>
      <x:c r="O96" s="7" t="str">
        <x:v>https://www.meti.go.jp/meti_lib/report/2020FY/000011.pdf</x:v>
      </x:c>
      <x:c r="P96" s="7" t="str"/>
      <x:c r="Q96" s="7" t="str">
        <x:v>EV-40787792de71</x:v>
      </x:c>
      <x:c r="R96" s="7" t="str">
        <x:v>integrated</x:v>
      </x:c>
      <x:c r="S96" s="20" t="n">
        <x:v>2020</x:v>
      </x:c>
      <x:c r="T96" s="20" t="n">
        <x:v>4</x:v>
      </x:c>
      <x:c r="U96" s="7" t="str">
        <x:v>年度・年度末</x:v>
      </x:c>
      <x:c r="V96" s="18"/>
      <x:c r="W96" s="7" t="str">
        <x:v>SRC-52b06b1f93</x:v>
      </x:c>
      <x:c r="X96" s="7" t="str"/>
      <x:c r="Y96" s="20" t="n">
        <x:v>89</x:v>
      </x:c>
      <x:c r="Z96" s="7" t="str"/>
      <x:c r="AA96" s="7" t="str"/>
      <x:c r="AB96" s="7" t="str"/>
    </x:row>
    <x:row r="97" ht="30" customHeight="1">
      <x:c r="A97" s="7" t="str">
        <x:v>2020年度</x:v>
      </x:c>
      <x:c r="B97" s="7" t="str">
        <x:v>年度</x:v>
      </x:c>
      <x:c r="C97" s="7" t="str">
        <x:v>V-C05</x:v>
      </x:c>
      <x:c r="D97" s="7" t="str">
        <x:v>のるーと塩尻</x:v>
      </x:c>
      <x:c r="E97" s="7" t="str">
        <x:v>中心市街地で開始</x:v>
      </x:c>
      <x:c r="F97" s="7" t="str">
        <x:v>無償実証</x:v>
      </x:c>
      <x:c r="G97" s="7" t="str">
        <x:v>地域事例</x:v>
      </x:c>
      <x:c r="H97" s="7" t="str">
        <x:v>横断検証（個別所管は資料参照）</x:v>
      </x:c>
      <x:c r="I97" s="7" t="str">
        <x:v>長野県塩尻市</x:v>
      </x:c>
      <x:c r="J97" s="7" t="str"/>
      <x:c r="K97" s="18"/>
      <x:c r="L97" s="7" t="str"/>
      <x:c r="M97" s="18" t="n">
        <x:v>46326</x:v>
      </x:c>
      <x:c r="N97" s="7" t="str">
        <x:v>S107</x:v>
      </x:c>
      <x:c r="O97" s="7" t="str">
        <x:v>https://www.city.shiojiri.lg.jp/soshiki/8/21176.html</x:v>
      </x:c>
      <x:c r="P97" s="7" t="str"/>
      <x:c r="Q97" s="7" t="str">
        <x:v>EV-831fe0da3f46</x:v>
      </x:c>
      <x:c r="R97" s="7" t="str">
        <x:v>V-C05</x:v>
      </x:c>
      <x:c r="S97" s="20" t="n">
        <x:v>2020</x:v>
      </x:c>
      <x:c r="T97" s="20" t="n">
        <x:v>4</x:v>
      </x:c>
      <x:c r="U97" s="7" t="str">
        <x:v>年度・年度末</x:v>
      </x:c>
      <x:c r="V97" s="18"/>
      <x:c r="W97" s="7" t="str">
        <x:v>SRC-115881087c</x:v>
      </x:c>
      <x:c r="X97" s="7" t="str"/>
      <x:c r="Y97" s="20" t="n">
        <x:v>90</x:v>
      </x:c>
      <x:c r="Z97" s="7" t="str"/>
      <x:c r="AA97" s="7" t="str"/>
      <x:c r="AB97" s="7" t="str"/>
    </x:row>
    <x:row r="98" ht="40.400001525878906" customHeight="1">
      <x:c r="A98" s="7" t="str">
        <x:v>2020年度</x:v>
      </x:c>
      <x:c r="B98" s="7" t="str">
        <x:v>年度</x:v>
      </x:c>
      <x:c r="C98" s="7" t="str">
        <x:v>ENV-C16</x:v>
      </x:c>
      <x:c r="D98" s="7" t="str">
        <x:v>小水力水素の製造・輸送・FCV利用</x:v>
      </x:c>
      <x:c r="E98" s="7" t="str">
        <x:v>実証終了</x:v>
      </x:c>
      <x:c r="F98" s="7" t="str">
        <x:v>終了評価</x:v>
      </x:c>
      <x:c r="G98" s="7" t="str">
        <x:v>地域事例</x:v>
      </x:c>
      <x:c r="H98" s="7" t="str">
        <x:v>環境省</x:v>
      </x:c>
      <x:c r="I98" s="7" t="str">
        <x:v>北海道白糠町・釧路市・士別市</x:v>
      </x:c>
      <x:c r="J98" s="7" t="str">
        <x:v>ENV-P10</x:v>
      </x:c>
      <x:c r="K98" s="18"/>
      <x:c r="L98" s="7" t="str"/>
      <x:c r="M98" s="18" t="n">
        <x:v>46326</x:v>
      </x:c>
      <x:c r="N98" s="7" t="str">
        <x:v>S172</x:v>
      </x:c>
      <x:c r="O98" s="7" t="str">
        <x:v>https://www.env.go.jp/seisaku/list/ondanka_saisei/lowcarbon-h2-sc/company/PDF/demonstration_05.pdf</x:v>
      </x:c>
      <x:c r="P98" s="7" t="str"/>
      <x:c r="Q98" s="7" t="str">
        <x:v>EV-946ab4b1950e</x:v>
      </x:c>
      <x:c r="R98" s="7" t="str">
        <x:v>ENV-C16</x:v>
      </x:c>
      <x:c r="S98" s="20" t="n">
        <x:v>2020</x:v>
      </x:c>
      <x:c r="T98" s="20" t="n">
        <x:v>4</x:v>
      </x:c>
      <x:c r="U98" s="7" t="str">
        <x:v>年度・年度末</x:v>
      </x:c>
      <x:c r="V98" s="18"/>
      <x:c r="W98" s="7" t="str">
        <x:v>SRC-042a78d4f8</x:v>
      </x:c>
      <x:c r="X98" s="7" t="str"/>
      <x:c r="Y98" s="20" t="n">
        <x:v>91</x:v>
      </x:c>
      <x:c r="Z98" s="7" t="str"/>
      <x:c r="AA98" s="7" t="str"/>
      <x:c r="AB98" s="7" t="str"/>
    </x:row>
    <x:row r="99" ht="30" customHeight="1">
      <x:c r="A99" s="7" t="str">
        <x:v>2020年度</x:v>
      </x:c>
      <x:c r="B99" s="7" t="str">
        <x:v>年度</x:v>
      </x:c>
      <x:c r="C99" s="7" t="str">
        <x:v>meti_tepco_v2g</x:v>
      </x:c>
      <x:c r="D99" s="7" t="str">
        <x:v>TEPCO V2G複数拠点</x:v>
      </x:c>
      <x:c r="E99" s="7" t="str">
        <x:v>追従性能と離脱課題を検証</x:v>
      </x:c>
      <x:c r="F99" s="7" t="str">
        <x:v>実証</x:v>
      </x:c>
      <x:c r="G99" s="7" t="str">
        <x:v>地域事例</x:v>
      </x:c>
      <x:c r="H99" s="7" t="str">
        <x:v>経済産業省</x:v>
      </x:c>
      <x:c r="I99" s="7" t="str">
        <x:v>静岡県富士市等・愛知県岡崎市等</x:v>
      </x:c>
      <x:c r="J99" s="7" t="str">
        <x:v>vpp</x:v>
      </x:c>
      <x:c r="K99" s="18" t="str">
        <x:v>2021</x:v>
      </x:c>
      <x:c r="L99" s="7" t="str">
        <x:v>2021</x:v>
      </x:c>
      <x:c r="M99" s="18" t="n">
        <x:v>46326</x:v>
      </x:c>
      <x:c r="N99" s="7" t="str">
        <x:v>S039</x:v>
      </x:c>
      <x:c r="O99" s="7" t="str">
        <x:v>https://sii.or.jp/vpp02/uploads/B2_tepco.pdf</x:v>
      </x:c>
      <x:c r="P99" s="7" t="str"/>
      <x:c r="Q99" s="7" t="str">
        <x:v>EV-ce005856c915</x:v>
      </x:c>
      <x:c r="R99" s="7" t="str">
        <x:v>meti_tepco_v2g</x:v>
      </x:c>
      <x:c r="S99" s="20" t="n">
        <x:v>2020</x:v>
      </x:c>
      <x:c r="T99" s="20" t="n">
        <x:v>4</x:v>
      </x:c>
      <x:c r="U99" s="7" t="str">
        <x:v>年度・年度末</x:v>
      </x:c>
      <x:c r="V99" s="18"/>
      <x:c r="W99" s="7" t="str">
        <x:v>SRC-32212cfeb1</x:v>
      </x:c>
      <x:c r="X99" s="7" t="str"/>
      <x:c r="Y99" s="20" t="n">
        <x:v>92</x:v>
      </x:c>
      <x:c r="Z99" s="7" t="str"/>
      <x:c r="AA99" s="7" t="str"/>
      <x:c r="AB99" s="7" t="str"/>
    </x:row>
    <x:row r="100" ht="40.400001525878906" customHeight="1">
      <x:c r="A100" s="7" t="str">
        <x:v>2020年度</x:v>
      </x:c>
      <x:c r="B100" s="7" t="str">
        <x:v>年度</x:v>
      </x:c>
      <x:c r="C100" s="7" t="str">
        <x:v>ENV-C15</x:v>
      </x:c>
      <x:c r="D100" s="7" t="str">
        <x:v>周南・下関の副生水素モビリティ</x:v>
      </x:c>
      <x:c r="E100" s="7" t="str">
        <x:v>太陽光水素・ボイラー等を追加</x:v>
      </x:c>
      <x:c r="F100" s="7" t="str">
        <x:v>用途変更</x:v>
      </x:c>
      <x:c r="G100" s="7" t="str">
        <x:v>地域事例</x:v>
      </x:c>
      <x:c r="H100" s="7" t="str">
        <x:v>環境省</x:v>
      </x:c>
      <x:c r="I100" s="7" t="str">
        <x:v>山口県周南市・下関市</x:v>
      </x:c>
      <x:c r="J100" s="7" t="str">
        <x:v>ENV-P10</x:v>
      </x:c>
      <x:c r="K100" s="18"/>
      <x:c r="L100" s="7" t="str"/>
      <x:c r="M100" s="18" t="n">
        <x:v>46326</x:v>
      </x:c>
      <x:c r="N100" s="7" t="str">
        <x:v>S171</x:v>
      </x:c>
      <x:c r="O100" s="7" t="str">
        <x:v>https://www.env.go.jp/seisaku/list/ondanka_saisei/lowcarbon-h2-sc/company/PDF/demonstration_03.pdf</x:v>
      </x:c>
      <x:c r="P100" s="7" t="str"/>
      <x:c r="Q100" s="7" t="str">
        <x:v>EV-ec2386c1cb35</x:v>
      </x:c>
      <x:c r="R100" s="7" t="str">
        <x:v>ENV-C15</x:v>
      </x:c>
      <x:c r="S100" s="20" t="n">
        <x:v>2020</x:v>
      </x:c>
      <x:c r="T100" s="20" t="n">
        <x:v>4</x:v>
      </x:c>
      <x:c r="U100" s="7" t="str">
        <x:v>年度・年度末</x:v>
      </x:c>
      <x:c r="V100" s="18"/>
      <x:c r="W100" s="7" t="str">
        <x:v>SRC-75cbe03af4</x:v>
      </x:c>
      <x:c r="X100" s="7" t="str"/>
      <x:c r="Y100" s="20" t="n">
        <x:v>93</x:v>
      </x:c>
      <x:c r="Z100" s="7" t="str"/>
      <x:c r="AA100" s="7" t="str"/>
      <x:c r="AB100" s="7" t="str"/>
    </x:row>
    <x:row r="101" ht="40.400001525878906" customHeight="1">
      <x:c r="A101" s="7" t="str">
        <x:v>2020年4月1日</x:v>
      </x:c>
      <x:c r="B101" s="7" t="str">
        <x:v>日</x:v>
      </x:c>
      <x:c r="C101" s="7" t="str">
        <x:v>V-C12</x:v>
      </x:c>
      <x:c r="D101" s="7" t="str">
        <x:v>西米良村ホイホイ便</x:v>
      </x:c>
      <x:c r="E101" s="7" t="str">
        <x:v>村営バス・地域配送と郵便/宅配3社が連携</x:v>
      </x:c>
      <x:c r="F101" s="7" t="str">
        <x:v>連携運行開始</x:v>
      </x:c>
      <x:c r="G101" s="7" t="str">
        <x:v>地域事例</x:v>
      </x:c>
      <x:c r="H101" s="7" t="str">
        <x:v>横断検証（個別所管は資料参照）</x:v>
      </x:c>
      <x:c r="I101" s="7" t="str">
        <x:v>宮崎県西米良村</x:v>
      </x:c>
      <x:c r="J101" s="7" t="str"/>
      <x:c r="K101" s="18" t="n">
        <x:v>43913</x:v>
      </x:c>
      <x:c r="L101" s="7" t="str">
        <x:v>2020-03-23</x:v>
      </x:c>
      <x:c r="M101" s="18" t="n">
        <x:v>46326</x:v>
      </x:c>
      <x:c r="N101" s="7" t="str">
        <x:v>S327</x:v>
      </x:c>
      <x:c r="O101" s="7" t="str">
        <x:v>https://www.vill.nishimera.lg.jp/village/wp-content/uploads/2020/03/ee75db6c3ea506c839ecbb7add4a2d41.pdf</x:v>
      </x:c>
      <x:c r="P101" s="7" t="str"/>
      <x:c r="Q101" s="7" t="str">
        <x:v>EV-f6edf86a167b</x:v>
      </x:c>
      <x:c r="R101" s="7" t="str">
        <x:v>V-C12</x:v>
      </x:c>
      <x:c r="S101" s="20" t="n">
        <x:v>2020</x:v>
      </x:c>
      <x:c r="T101" s="20" t="n">
        <x:v>4</x:v>
      </x:c>
      <x:c r="U101" s="7" t="str">
        <x:v>暦年・暦月</x:v>
      </x:c>
      <x:c r="V101" s="18" t="n">
        <x:v>43922</x:v>
      </x:c>
      <x:c r="W101" s="7" t="str">
        <x:v>SRC-b24cdee233</x:v>
      </x:c>
      <x:c r="X101" s="7" t="str"/>
      <x:c r="Y101" s="20" t="n">
        <x:v>94</x:v>
      </x:c>
      <x:c r="Z101" s="7" t="str"/>
      <x:c r="AA101" s="7" t="str"/>
      <x:c r="AB101" s="7" t="str"/>
    </x:row>
    <x:row r="102" ht="30" customHeight="1">
      <x:c r="A102" s="7" t="str">
        <x:v>2020年6月1日</x:v>
      </x:c>
      <x:c r="B102" s="7" t="str">
        <x:v>日</x:v>
      </x:c>
      <x:c r="C102" s="7" t="str">
        <x:v>ENV-C07</x:v>
      </x:c>
      <x:c r="D102" s="7" t="str">
        <x:v>地域再エネEVシェア eemo・公用利用</x:v>
      </x:c>
      <x:c r="E102" s="7" t="str">
        <x:v>EVシェアサービス開始</x:v>
      </x:c>
      <x:c r="F102" s="7" t="str">
        <x:v>実装開始</x:v>
      </x:c>
      <x:c r="G102" s="7" t="str">
        <x:v>地域事例</x:v>
      </x:c>
      <x:c r="H102" s="7" t="str">
        <x:v>環境省</x:v>
      </x:c>
      <x:c r="I102" s="7" t="str">
        <x:v>神奈川県小田原市</x:v>
      </x:c>
      <x:c r="J102" s="7" t="str"/>
      <x:c r="K102" s="18" t="n">
        <x:v>44008</x:v>
      </x:c>
      <x:c r="L102" s="7" t="str">
        <x:v>2020-06-26</x:v>
      </x:c>
      <x:c r="M102" s="18" t="n">
        <x:v>46326</x:v>
      </x:c>
      <x:c r="N102" s="7" t="str">
        <x:v>S144</x:v>
      </x:c>
      <x:c r="O102" s="7" t="str">
        <x:v>https://www.env.go.jp/annai/kaiken/r2/0626.html</x:v>
      </x:c>
      <x:c r="P102" s="7" t="str"/>
      <x:c r="Q102" s="7" t="str">
        <x:v>EV-ae0d32fa92b3</x:v>
      </x:c>
      <x:c r="R102" s="7" t="str">
        <x:v>ENV-C07</x:v>
      </x:c>
      <x:c r="S102" s="20" t="n">
        <x:v>2020</x:v>
      </x:c>
      <x:c r="T102" s="20" t="n">
        <x:v>6</x:v>
      </x:c>
      <x:c r="U102" s="7" t="str">
        <x:v>暦年・暦月</x:v>
      </x:c>
      <x:c r="V102" s="18" t="n">
        <x:v>43983</x:v>
      </x:c>
      <x:c r="W102" s="7" t="str">
        <x:v>SRC-85eede1bce</x:v>
      </x:c>
      <x:c r="X102" s="7" t="str"/>
      <x:c r="Y102" s="20" t="n">
        <x:v>95</x:v>
      </x:c>
      <x:c r="Z102" s="7" t="str"/>
      <x:c r="AA102" s="7" t="str"/>
      <x:c r="AB102" s="7" t="str"/>
    </x:row>
    <x:row r="103" ht="30" customHeight="1">
      <x:c r="A103" s="7" t="str">
        <x:v>2020年6月8日</x:v>
      </x:c>
      <x:c r="B103" s="7" t="str">
        <x:v>日</x:v>
      </x:c>
      <x:c r="C103" s="7" t="str">
        <x:v>meti_tepco_v2g</x:v>
      </x:c>
      <x:c r="D103" s="7" t="str">
        <x:v>TEPCO V2G複数拠点</x:v>
      </x:c>
      <x:c r="E103" s="7" t="str">
        <x:v>59台規模の2019年度結果発表</x:v>
      </x:c>
      <x:c r="F103" s="7" t="str">
        <x:v>実証結果</x:v>
      </x:c>
      <x:c r="G103" s="7" t="str">
        <x:v>地域事例</x:v>
      </x:c>
      <x:c r="H103" s="7" t="str">
        <x:v>経済産業省</x:v>
      </x:c>
      <x:c r="I103" s="7" t="str">
        <x:v>静岡県富士市等・愛知県岡崎市等</x:v>
      </x:c>
      <x:c r="J103" s="7" t="str">
        <x:v>vpp</x:v>
      </x:c>
      <x:c r="K103" s="18" t="n">
        <x:v>43990</x:v>
      </x:c>
      <x:c r="L103" s="7" t="str">
        <x:v>2020-06-08</x:v>
      </x:c>
      <x:c r="M103" s="18" t="n">
        <x:v>46326</x:v>
      </x:c>
      <x:c r="N103" s="7" t="str">
        <x:v>S329</x:v>
      </x:c>
      <x:c r="O103" s="7" t="str">
        <x:v>https://www4.tepco.co.jp/press/release/2020/pdf2/200608j0101.pdf</x:v>
      </x:c>
      <x:c r="P103" s="7" t="str">
        <x:v>同一期間内の厳密な前後関係は日付精度により未確定</x:v>
      </x:c>
      <x:c r="Q103" s="7" t="str">
        <x:v>EV-da225429ad26</x:v>
      </x:c>
      <x:c r="R103" s="7" t="str">
        <x:v>meti_tepco_v2g</x:v>
      </x:c>
      <x:c r="S103" s="20" t="n">
        <x:v>2020</x:v>
      </x:c>
      <x:c r="T103" s="20" t="n">
        <x:v>6</x:v>
      </x:c>
      <x:c r="U103" s="7" t="str">
        <x:v>暦年・暦月</x:v>
      </x:c>
      <x:c r="V103" s="18" t="n">
        <x:v>43990</x:v>
      </x:c>
      <x:c r="W103" s="7" t="str">
        <x:v>SRC-26c765527b</x:v>
      </x:c>
      <x:c r="X103" s="7" t="str"/>
      <x:c r="Y103" s="20" t="n">
        <x:v>96</x:v>
      </x:c>
      <x:c r="Z103" s="7" t="str"/>
      <x:c r="AA103" s="7" t="str"/>
      <x:c r="AB103" s="7" t="str"/>
    </x:row>
    <x:row r="104" ht="30" customHeight="1">
      <x:c r="A104" s="7" t="str">
        <x:v>2020年7月</x:v>
      </x:c>
      <x:c r="B104" s="7" t="str">
        <x:v>月</x:v>
      </x:c>
      <x:c r="C104" s="7" t="str">
        <x:v>mlit_saitama</x:v>
      </x:c>
      <x:c r="D104" s="7" t="str">
        <x:v>美園 AIオンデマンド・ライフサポート型MaaS</x:v>
      </x:c>
      <x:c r="E104" s="7" t="str">
        <x:v>先行モデルプロジェクト選定</x:v>
      </x:c>
      <x:c r="F104" s="7" t="str">
        <x:v>採択変更</x:v>
      </x:c>
      <x:c r="G104" s="7" t="str">
        <x:v>地域事例</x:v>
      </x:c>
      <x:c r="H104" s="7" t="str">
        <x:v>国土交通省</x:v>
      </x:c>
      <x:c r="I104" s="7" t="str">
        <x:v>埼玉県さいたま市美園地区</x:v>
      </x:c>
      <x:c r="J104" s="7" t="str">
        <x:v>smartcity</x:v>
      </x:c>
      <x:c r="K104" s="18" t="str">
        <x:v>2021-08</x:v>
      </x:c>
      <x:c r="L104" s="7" t="str">
        <x:v>2021-08</x:v>
      </x:c>
      <x:c r="M104" s="18" t="n">
        <x:v>46326</x:v>
      </x:c>
      <x:c r="N104" s="7" t="str">
        <x:v>S276</x:v>
      </x:c>
      <x:c r="O104" s="7" t="str">
        <x:v>https://www.mlit.go.jp/toshi/tosiko/content/001475403.pdf</x:v>
      </x:c>
      <x:c r="P104" s="7" t="str"/>
      <x:c r="Q104" s="7" t="str">
        <x:v>EV-4a3f888817ea</x:v>
      </x:c>
      <x:c r="R104" s="7" t="str">
        <x:v>mlit_saitama</x:v>
      </x:c>
      <x:c r="S104" s="20" t="n">
        <x:v>2020</x:v>
      </x:c>
      <x:c r="T104" s="20" t="n">
        <x:v>7</x:v>
      </x:c>
      <x:c r="U104" s="7" t="str">
        <x:v>暦年・暦月</x:v>
      </x:c>
      <x:c r="V104" s="18"/>
      <x:c r="W104" s="7" t="str">
        <x:v>SRC-b6d2a3cc97</x:v>
      </x:c>
      <x:c r="X104" s="7" t="str"/>
      <x:c r="Y104" s="20" t="n">
        <x:v>97</x:v>
      </x:c>
      <x:c r="Z104" s="7" t="str"/>
      <x:c r="AA104" s="7" t="str"/>
      <x:c r="AB104" s="7" t="str"/>
    </x:row>
    <x:row r="105" ht="30" customHeight="1">
      <x:c r="A105" s="7" t="str">
        <x:v>2020年7月</x:v>
      </x:c>
      <x:c r="B105" s="7" t="str">
        <x:v>月</x:v>
      </x:c>
      <x:c r="C105" s="7" t="str">
        <x:v>ENV-C02</x:v>
      </x:c>
      <x:c r="D105" s="7" t="str">
        <x:v>いわき・トイボ</x:v>
      </x:c>
      <x:c r="E105" s="7" t="str">
        <x:v>平地区で実証運行</x:v>
      </x:c>
      <x:c r="F105" s="7" t="str">
        <x:v>実証</x:v>
      </x:c>
      <x:c r="G105" s="7" t="str">
        <x:v>地域事例</x:v>
      </x:c>
      <x:c r="H105" s="7" t="str">
        <x:v>環境省</x:v>
      </x:c>
      <x:c r="I105" s="7" t="str">
        <x:v>福島県いわき市</x:v>
      </x:c>
      <x:c r="J105" s="7" t="str">
        <x:v>ENV-P02</x:v>
      </x:c>
      <x:c r="K105" s="18"/>
      <x:c r="L105" s="7" t="str"/>
      <x:c r="M105" s="18" t="n">
        <x:v>46326</x:v>
      </x:c>
      <x:c r="N105" s="7" t="str">
        <x:v>S146</x:v>
      </x:c>
      <x:c r="O105" s="7" t="str">
        <x:v>https://www.env.go.jp/content/000126068.pdf</x:v>
      </x:c>
      <x:c r="P105" s="7" t="str"/>
      <x:c r="Q105" s="7" t="str">
        <x:v>EV-87d213495399</x:v>
      </x:c>
      <x:c r="R105" s="7" t="str">
        <x:v>ENV-C02</x:v>
      </x:c>
      <x:c r="S105" s="20" t="n">
        <x:v>2020</x:v>
      </x:c>
      <x:c r="T105" s="20" t="n">
        <x:v>7</x:v>
      </x:c>
      <x:c r="U105" s="7" t="str">
        <x:v>暦年・暦月</x:v>
      </x:c>
      <x:c r="V105" s="18"/>
      <x:c r="W105" s="7" t="str">
        <x:v>SRC-34d5e30cc6</x:v>
      </x:c>
      <x:c r="X105" s="7" t="str"/>
      <x:c r="Y105" s="20" t="n">
        <x:v>98</x:v>
      </x:c>
      <x:c r="Z105" s="7" t="str"/>
      <x:c r="AA105" s="7" t="str"/>
      <x:c r="AB105" s="7" t="str"/>
    </x:row>
    <x:row r="106" ht="30" customHeight="1">
      <x:c r="A106" s="7" t="str">
        <x:v>2020年7月4日</x:v>
      </x:c>
      <x:c r="B106" s="7" t="str">
        <x:v>日</x:v>
      </x:c>
      <x:c r="C106" s="7" t="str">
        <x:v>ENV-C03</x:v>
      </x:c>
      <x:c r="D106" s="7" t="str">
        <x:v>瀬戸田グリーンスローモビリティ</x:v>
      </x:c>
      <x:c r="E106" s="7" t="str">
        <x:v>地元発表に基づく夏季運行開始</x:v>
      </x:c>
      <x:c r="F106" s="7" t="str">
        <x:v>実証</x:v>
      </x:c>
      <x:c r="G106" s="7" t="str">
        <x:v>地域事例</x:v>
      </x:c>
      <x:c r="H106" s="7" t="str">
        <x:v>環境省</x:v>
      </x:c>
      <x:c r="I106" s="7" t="str">
        <x:v>広島県尾道市瀬戸田</x:v>
      </x:c>
      <x:c r="J106" s="7" t="str">
        <x:v>ENV-P02</x:v>
      </x:c>
      <x:c r="K106" s="18"/>
      <x:c r="L106" s="7" t="str">
        <x:v>2020年</x:v>
      </x:c>
      <x:c r="M106" s="18" t="n">
        <x:v>46326</x:v>
      </x:c>
      <x:c r="N106" s="7" t="str">
        <x:v>S038</x:v>
      </x:c>
      <x:c r="O106" s="7" t="str">
        <x:v>https://setouchitourism.or.jp/ja/info/setoda_mobility_press/</x:v>
      </x:c>
      <x:c r="P106" s="7" t="str"/>
      <x:c r="Q106" s="7" t="str">
        <x:v>EV-93c1d64e6a1d</x:v>
      </x:c>
      <x:c r="R106" s="7" t="str">
        <x:v>ENV-C03</x:v>
      </x:c>
      <x:c r="S106" s="20" t="n">
        <x:v>2020</x:v>
      </x:c>
      <x:c r="T106" s="20" t="n">
        <x:v>7</x:v>
      </x:c>
      <x:c r="U106" s="7" t="str">
        <x:v>暦年・暦月</x:v>
      </x:c>
      <x:c r="V106" s="18" t="n">
        <x:v>44016</x:v>
      </x:c>
      <x:c r="W106" s="7" t="str">
        <x:v>SRC-f118c3256d</x:v>
      </x:c>
      <x:c r="X106" s="7" t="str"/>
      <x:c r="Y106" s="20" t="n">
        <x:v>99</x:v>
      </x:c>
      <x:c r="Z106" s="7" t="str"/>
      <x:c r="AA106" s="7" t="str"/>
      <x:c r="AB106" s="7" t="str"/>
    </x:row>
    <x:row r="107" ht="40.400001525878906" customHeight="1">
      <x:c r="A107" s="7" t="str">
        <x:v>2020年8月5日</x:v>
      </x:c>
      <x:c r="B107" s="7" t="str">
        <x:v>日</x:v>
      </x:c>
      <x:c r="C107" s="7" t="str">
        <x:v>meti_ina</x:v>
      </x:c>
      <x:c r="D107" s="7" t="str">
        <x:v>ゆうあいマーケット</x:v>
      </x:c>
      <x:c r="E107" s="7" t="str">
        <x:v>買物支援サービス開始</x:v>
      </x:c>
      <x:c r="F107" s="7" t="str">
        <x:v>実装</x:v>
      </x:c>
      <x:c r="G107" s="7" t="str">
        <x:v>地域事例</x:v>
      </x:c>
      <x:c r="H107" s="7" t="str">
        <x:v>経済産業省</x:v>
      </x:c>
      <x:c r="I107" s="7" t="str">
        <x:v>長野県伊那市</x:v>
      </x:c>
      <x:c r="J107" s="7" t="str">
        <x:v>dress</x:v>
      </x:c>
      <x:c r="K107" s="18" t="n">
        <x:v>44225</x:v>
      </x:c>
      <x:c r="L107" s="7" t="str">
        <x:v>2021-01-29</x:v>
      </x:c>
      <x:c r="M107" s="18" t="n">
        <x:v>46326</x:v>
      </x:c>
      <x:c r="N107" s="7" t="str">
        <x:v>S180</x:v>
      </x:c>
      <x:c r="O107" s="7" t="str">
        <x:v>https://www.inacity.jp/shisei/inashiseisakusesaku/shinsangyougijutu/dronekatuyou/174kija20210129.html</x:v>
      </x:c>
      <x:c r="P107" s="7" t="str"/>
      <x:c r="Q107" s="7" t="str">
        <x:v>EV-f4a966ac8e98</x:v>
      </x:c>
      <x:c r="R107" s="7" t="str">
        <x:v>meti_ina</x:v>
      </x:c>
      <x:c r="S107" s="20" t="n">
        <x:v>2020</x:v>
      </x:c>
      <x:c r="T107" s="20" t="n">
        <x:v>8</x:v>
      </x:c>
      <x:c r="U107" s="7" t="str">
        <x:v>暦年・暦月</x:v>
      </x:c>
      <x:c r="V107" s="18" t="n">
        <x:v>44048</x:v>
      </x:c>
      <x:c r="W107" s="7" t="str">
        <x:v>SRC-61c177a334</x:v>
      </x:c>
      <x:c r="X107" s="7" t="str"/>
      <x:c r="Y107" s="20" t="n">
        <x:v>100</x:v>
      </x:c>
      <x:c r="Z107" s="7" t="str"/>
      <x:c r="AA107" s="7" t="str"/>
      <x:c r="AB107" s="7" t="str"/>
    </x:row>
    <x:row r="108" ht="30" customHeight="1">
      <x:c r="A108" s="7" t="str">
        <x:v>2020年10月5日</x:v>
      </x:c>
      <x:c r="B108" s="7" t="str">
        <x:v>日</x:v>
      </x:c>
      <x:c r="C108" s="7" t="str">
        <x:v>meti_mitoyo</x:v>
      </x:c>
      <x:c r="D108" s="7" t="str">
        <x:v>ゴイッショみとよ共同送迎</x:v>
      </x:c>
      <x:c r="E108" s="7" t="str">
        <x:v>市・社協・ダイハツ協定、実証へ</x:v>
      </x:c>
      <x:c r="F108" s="7" t="str">
        <x:v>体制整備</x:v>
      </x:c>
      <x:c r="G108" s="7" t="str">
        <x:v>地域事例</x:v>
      </x:c>
      <x:c r="H108" s="7" t="str">
        <x:v>経済産業省</x:v>
      </x:c>
      <x:c r="I108" s="7" t="str">
        <x:v>香川県三豊市</x:v>
      </x:c>
      <x:c r="J108" s="7" t="str">
        <x:v>smc</x:v>
      </x:c>
      <x:c r="K108" s="18" t="n">
        <x:v>44126</x:v>
      </x:c>
      <x:c r="L108" s="7" t="str">
        <x:v>2020-10-22</x:v>
      </x:c>
      <x:c r="M108" s="18" t="n">
        <x:v>46326</x:v>
      </x:c>
      <x:c r="N108" s="7" t="str">
        <x:v>S090</x:v>
      </x:c>
      <x:c r="O108" s="7" t="str">
        <x:v>https://www.city.mitoyo.lg.jp/hotnews_old/reiwa2/hot2010/7339.html</x:v>
      </x:c>
      <x:c r="P108" s="7" t="str"/>
      <x:c r="Q108" s="7" t="str">
        <x:v>EV-aa89b3611dfb</x:v>
      </x:c>
      <x:c r="R108" s="7" t="str">
        <x:v>meti_mitoyo</x:v>
      </x:c>
      <x:c r="S108" s="20" t="n">
        <x:v>2020</x:v>
      </x:c>
      <x:c r="T108" s="20" t="n">
        <x:v>10</x:v>
      </x:c>
      <x:c r="U108" s="7" t="str">
        <x:v>暦年・暦月</x:v>
      </x:c>
      <x:c r="V108" s="18" t="n">
        <x:v>44109</x:v>
      </x:c>
      <x:c r="W108" s="7" t="str">
        <x:v>SRC-64c0e37087</x:v>
      </x:c>
      <x:c r="X108" s="7" t="str"/>
      <x:c r="Y108" s="20" t="n">
        <x:v>101</x:v>
      </x:c>
      <x:c r="Z108" s="7" t="str"/>
      <x:c r="AA108" s="7" t="str"/>
      <x:c r="AB108" s="7" t="str"/>
    </x:row>
    <x:row r="109" ht="30" customHeight="1">
      <x:c r="A109" s="7" t="str">
        <x:v>2020年11月16日</x:v>
      </x:c>
      <x:c r="B109" s="7" t="str">
        <x:v>日</x:v>
      </x:c>
      <x:c r="C109" s="7" t="str">
        <x:v>mlit_izuko</x:v>
      </x:c>
      <x:c r="D109" s="7" t="str">
        <x:v>観光型MaaS Izuko</x:v>
      </x:c>
      <x:c r="E109" s="7" t="str">
        <x:v>Phase3開始、西伊豆・静岡へ拡大</x:v>
      </x:c>
      <x:c r="F109" s="7" t="str">
        <x:v>実証拡大</x:v>
      </x:c>
      <x:c r="G109" s="7" t="str">
        <x:v>地域事例</x:v>
      </x:c>
      <x:c r="H109" s="7" t="str">
        <x:v>国土交通省</x:v>
      </x:c>
      <x:c r="I109" s="7" t="str">
        <x:v>静岡県伊豆半島・静岡方面</x:v>
      </x:c>
      <x:c r="J109" s="7" t="str">
        <x:v>maas_japan</x:v>
      </x:c>
      <x:c r="K109" s="18" t="n">
        <x:v>44313</x:v>
      </x:c>
      <x:c r="L109" s="7" t="str">
        <x:v>2021-04-27</x:v>
      </x:c>
      <x:c r="M109" s="18" t="n">
        <x:v>46326</x:v>
      </x:c>
      <x:c r="N109" s="7" t="str">
        <x:v>S321</x:v>
      </x:c>
      <x:c r="O109" s="7" t="str">
        <x:v>https://www.tokyu.co.jp/company/news/pdf/20210427-1.pdf</x:v>
      </x:c>
      <x:c r="P109" s="7" t="str"/>
      <x:c r="Q109" s="7" t="str">
        <x:v>EV-421508f2da25</x:v>
      </x:c>
      <x:c r="R109" s="7" t="str">
        <x:v>mlit_izuko</x:v>
      </x:c>
      <x:c r="S109" s="20" t="n">
        <x:v>2020</x:v>
      </x:c>
      <x:c r="T109" s="20" t="n">
        <x:v>11</x:v>
      </x:c>
      <x:c r="U109" s="7" t="str">
        <x:v>暦年・暦月</x:v>
      </x:c>
      <x:c r="V109" s="18" t="n">
        <x:v>44151</x:v>
      </x:c>
      <x:c r="W109" s="7" t="str">
        <x:v>SRC-ee011dca8a</x:v>
      </x:c>
      <x:c r="X109" s="7" t="str"/>
      <x:c r="Y109" s="20" t="n">
        <x:v>102</x:v>
      </x:c>
      <x:c r="Z109" s="7" t="str"/>
      <x:c r="AA109" s="7" t="str"/>
      <x:c r="AB109" s="7" t="str"/>
    </x:row>
    <x:row r="110" ht="30" customHeight="1">
      <x:c r="A110" s="7" t="str">
        <x:v>2020年11月26日</x:v>
      </x:c>
      <x:c r="B110" s="7" t="str">
        <x:v>日</x:v>
      </x:c>
      <x:c r="C110" s="7" t="str">
        <x:v>V-C02</x:v>
      </x:c>
      <x:c r="D110" s="7" t="str">
        <x:v>境町自動運転バス</x:v>
      </x:c>
      <x:c r="E110" s="7" t="str">
        <x:v>3台による定常運行開始</x:v>
      </x:c>
      <x:c r="F110" s="7" t="str">
        <x:v>本格運行</x:v>
      </x:c>
      <x:c r="G110" s="7" t="str">
        <x:v>地域事例</x:v>
      </x:c>
      <x:c r="H110" s="7" t="str">
        <x:v>横断検証（個別所管は資料参照）</x:v>
      </x:c>
      <x:c r="I110" s="7" t="str">
        <x:v>茨城県境町</x:v>
      </x:c>
      <x:c r="J110" s="7" t="str"/>
      <x:c r="K110" s="18"/>
      <x:c r="L110" s="7" t="str"/>
      <x:c r="M110" s="18" t="n">
        <x:v>46326</x:v>
      </x:c>
      <x:c r="N110" s="7" t="str">
        <x:v>S322</x:v>
      </x:c>
      <x:c r="O110" s="7" t="str">
        <x:v>https://www.town.ibaraki-sakai.lg.jp/mobile/page/page002440.html</x:v>
      </x:c>
      <x:c r="P110" s="7" t="str"/>
      <x:c r="Q110" s="7" t="str">
        <x:v>EV-fc371c393f03</x:v>
      </x:c>
      <x:c r="R110" s="7" t="str">
        <x:v>V-C02</x:v>
      </x:c>
      <x:c r="S110" s="20" t="n">
        <x:v>2020</x:v>
      </x:c>
      <x:c r="T110" s="20" t="n">
        <x:v>11</x:v>
      </x:c>
      <x:c r="U110" s="7" t="str">
        <x:v>暦年・暦月</x:v>
      </x:c>
      <x:c r="V110" s="18" t="n">
        <x:v>44161</x:v>
      </x:c>
      <x:c r="W110" s="7" t="str">
        <x:v>SRC-9077a9db2f</x:v>
      </x:c>
      <x:c r="X110" s="7" t="str"/>
      <x:c r="Y110" s="20" t="n">
        <x:v>103</x:v>
      </x:c>
      <x:c r="Z110" s="7" t="str"/>
      <x:c r="AA110" s="7" t="str"/>
      <x:c r="AB110" s="7" t="str"/>
    </x:row>
    <x:row r="111" ht="40.400001525878906" customHeight="1">
      <x:c r="A111" s="7" t="str">
        <x:v>2020年11月27日</x:v>
      </x:c>
      <x:c r="B111" s="7" t="str">
        <x:v>日</x:v>
      </x:c>
      <x:c r="C111" s="7" t="str">
        <x:v>ENV-P03</x:v>
      </x:c>
      <x:c r="D111" s="7" t="str">
        <x:v>脱炭素イノベーションによる地域循環共生圏構築／CASE地域交通モデル</x:v>
      </x:c>
      <x:c r="E111" s="7" t="str">
        <x:v>環境省が脱炭素イノベーションによる地域循環共生圏構築事業の採択結果を公表。CASEと地域エネルギーを接続。</x:v>
      </x:c>
      <x:c r="F111" s="7" t="str">
        <x:v>採択公表</x:v>
      </x:c>
      <x:c r="G111" s="7" t="str">
        <x:v>政策制度</x:v>
      </x:c>
      <x:c r="H111" s="7" t="str">
        <x:v>環境省</x:v>
      </x:c>
      <x:c r="I111" s="7" t="str"/>
      <x:c r="J111" s="7" t="str">
        <x:v>ENV-P03</x:v>
      </x:c>
      <x:c r="K111" s="18" t="n">
        <x:v>44162</x:v>
      </x:c>
      <x:c r="L111" s="7" t="str">
        <x:v>2020-11-27</x:v>
      </x:c>
      <x:c r="M111" s="18" t="n">
        <x:v>46326</x:v>
      </x:c>
      <x:c r="N111" s="7" t="str">
        <x:v>S162</x:v>
      </x:c>
      <x:c r="O111" s="7" t="str">
        <x:v>https://www.env.go.jp/press/108692.html</x:v>
      </x:c>
      <x:c r="P111" s="7" t="str"/>
      <x:c r="Q111" s="7" t="str">
        <x:v>EV-c4dedf1fe94e</x:v>
      </x:c>
      <x:c r="R111" s="7" t="str">
        <x:v>integrated</x:v>
      </x:c>
      <x:c r="S111" s="20" t="n">
        <x:v>2020</x:v>
      </x:c>
      <x:c r="T111" s="20" t="n">
        <x:v>11</x:v>
      </x:c>
      <x:c r="U111" s="7" t="str">
        <x:v>暦年・暦月</x:v>
      </x:c>
      <x:c r="V111" s="18" t="n">
        <x:v>44162</x:v>
      </x:c>
      <x:c r="W111" s="7" t="str">
        <x:v>SRC-cad9c8908f</x:v>
      </x:c>
      <x:c r="X111" s="7" t="str"/>
      <x:c r="Y111" s="20" t="n">
        <x:v>104</x:v>
      </x:c>
      <x:c r="Z111" s="7" t="str"/>
      <x:c r="AA111" s="7" t="str"/>
      <x:c r="AB111" s="7" t="str"/>
    </x:row>
    <x:row r="112" ht="54.599998474121094" customHeight="1">
      <x:c r="A112" s="7" t="str">
        <x:v>2020年12月</x:v>
      </x:c>
      <x:c r="B112" s="7" t="str">
        <x:v>月</x:v>
      </x:c>
      <x:c r="C112" s="7" t="str">
        <x:v>DIG-P14</x:v>
      </x:c>
      <x:c r="D112" s="7" t="str">
        <x:v>課題解決型ローカル5G等の開発実証（モビリティ）</x:v>
      </x:c>
      <x:c r="E112" s="7" t="str">
        <x:v>NEC御殿場テストセンターでローカル5Gによる技術試験を実施したと発表。</x:v>
      </x:c>
      <x:c r="F112" s="7" t="str">
        <x:v>試験完了</x:v>
      </x:c>
      <x:c r="G112" s="7" t="str">
        <x:v>政策制度</x:v>
      </x:c>
      <x:c r="H112" s="7" t="str">
        <x:v>総務省
事務局
地域コンソーシアム</x:v>
      </x:c>
      <x:c r="I112" s="7" t="str"/>
      <x:c r="J112" s="7" t="str">
        <x:v>DIG-P14</x:v>
      </x:c>
      <x:c r="K112" s="18" t="n">
        <x:v>44209</x:v>
      </x:c>
      <x:c r="L112" s="7" t="str">
        <x:v>2021-01-13</x:v>
      </x:c>
      <x:c r="M112" s="18" t="n">
        <x:v>46326</x:v>
      </x:c>
      <x:c r="N112" s="7" t="str">
        <x:v>S175</x:v>
      </x:c>
      <x:c r="O112" s="7" t="str">
        <x:v>https://www.gunma-u.ac.jp/information/84393</x:v>
      </x:c>
      <x:c r="P112" s="7" t="str"/>
      <x:c r="Q112" s="7" t="str">
        <x:v>EV-fa72690d1416</x:v>
      </x:c>
      <x:c r="R112" s="7" t="str">
        <x:v>DIG-P14</x:v>
      </x:c>
      <x:c r="S112" s="20" t="n">
        <x:v>2020</x:v>
      </x:c>
      <x:c r="T112" s="20" t="n">
        <x:v>12</x:v>
      </x:c>
      <x:c r="U112" s="7" t="str">
        <x:v>暦年・暦月</x:v>
      </x:c>
      <x:c r="V112" s="18"/>
      <x:c r="W112" s="7" t="str">
        <x:v>SRC-f76df920ec</x:v>
      </x:c>
      <x:c r="X112" s="7" t="str"/>
      <x:c r="Y112" s="20" t="n">
        <x:v>105</x:v>
      </x:c>
      <x:c r="Z112" s="7" t="str"/>
      <x:c r="AA112" s="7" t="str"/>
      <x:c r="AB112" s="7" t="str"/>
    </x:row>
    <x:row r="113" ht="40.400001525878906" customHeight="1">
      <x:c r="A113" s="7" t="str">
        <x:v>2021年</x:v>
      </x:c>
      <x:c r="B113" s="7" t="str">
        <x:v>年</x:v>
      </x:c>
      <x:c r="C113" s="7" t="str">
        <x:v>ENV-C03</x:v>
      </x:c>
      <x:c r="D113" s="7" t="str">
        <x:v>瀬戸田グリーンスローモビリティ</x:v>
      </x:c>
      <x:c r="E113" s="7" t="str">
        <x:v>秋の実証運行案内</x:v>
      </x:c>
      <x:c r="F113" s="7" t="str">
        <x:v>実証継続</x:v>
      </x:c>
      <x:c r="G113" s="7" t="str">
        <x:v>地域事例</x:v>
      </x:c>
      <x:c r="H113" s="7" t="str">
        <x:v>環境省</x:v>
      </x:c>
      <x:c r="I113" s="7" t="str">
        <x:v>広島県尾道市瀬戸田</x:v>
      </x:c>
      <x:c r="J113" s="7" t="str">
        <x:v>ENV-P02</x:v>
      </x:c>
      <x:c r="K113" s="18"/>
      <x:c r="L113" s="7" t="str">
        <x:v>2021年</x:v>
      </x:c>
      <x:c r="M113" s="18" t="n">
        <x:v>46326</x:v>
      </x:c>
      <x:c r="N113" s="7" t="str">
        <x:v>S100</x:v>
      </x:c>
      <x:c r="O113" s="7" t="str">
        <x:v>https://www.city.onomichi.hiroshima.jp/uploaded/attachment/31064.pdf</x:v>
      </x:c>
      <x:c r="P113" s="7" t="str"/>
      <x:c r="Q113" s="7" t="str">
        <x:v>EV-7e26571ab18b</x:v>
      </x:c>
      <x:c r="R113" s="7" t="str">
        <x:v>ENV-C03</x:v>
      </x:c>
      <x:c r="S113" s="20" t="n">
        <x:v>2021</x:v>
      </x:c>
      <x:c r="T113" s="20" t="n">
        <x:v>1</x:v>
      </x:c>
      <x:c r="U113" s="7" t="str">
        <x:v>暦年・暦月</x:v>
      </x:c>
      <x:c r="V113" s="18"/>
      <x:c r="W113" s="7" t="str">
        <x:v>SRC-205c7e7740</x:v>
      </x:c>
      <x:c r="X113" s="7" t="str"/>
      <x:c r="Y113" s="20" t="n">
        <x:v>106</x:v>
      </x:c>
      <x:c r="Z113" s="7" t="str"/>
      <x:c r="AA113" s="7" t="str"/>
      <x:c r="AB113" s="7" t="str"/>
    </x:row>
    <x:row r="114" ht="30" customHeight="1">
      <x:c r="A114" s="7" t="str">
        <x:v>2021年</x:v>
      </x:c>
      <x:c r="B114" s="7" t="str">
        <x:v>年</x:v>
      </x:c>
      <x:c r="C114" s="7" t="str">
        <x:v>ENV-C07</x:v>
      </x:c>
      <x:c r="D114" s="7" t="str">
        <x:v>地域再エネEVシェア eemo・公用利用</x:v>
      </x:c>
      <x:c r="E114" s="7" t="str">
        <x:v>一部ステーション再エネ供給等を市が紹介</x:v>
      </x:c>
      <x:c r="F114" s="7" t="str">
        <x:v>運用</x:v>
      </x:c>
      <x:c r="G114" s="7" t="str">
        <x:v>地域事例</x:v>
      </x:c>
      <x:c r="H114" s="7" t="str">
        <x:v>環境省</x:v>
      </x:c>
      <x:c r="I114" s="7" t="str">
        <x:v>神奈川県小田原市</x:v>
      </x:c>
      <x:c r="J114" s="7" t="str"/>
      <x:c r="K114" s="18"/>
      <x:c r="L114" s="7" t="str">
        <x:v>2021年</x:v>
      </x:c>
      <x:c r="M114" s="18" t="n">
        <x:v>46326</x:v>
      </x:c>
      <x:c r="N114" s="7" t="str">
        <x:v>S099</x:v>
      </x:c>
      <x:c r="O114" s="7" t="str">
        <x:v>https://www.city.odawara.kanagawa.jp/public/detail.php?id=11235</x:v>
      </x:c>
      <x:c r="P114" s="7" t="str"/>
      <x:c r="Q114" s="7" t="str">
        <x:v>EV-802e8ec1a8c4</x:v>
      </x:c>
      <x:c r="R114" s="7" t="str">
        <x:v>ENV-C07</x:v>
      </x:c>
      <x:c r="S114" s="20" t="n">
        <x:v>2021</x:v>
      </x:c>
      <x:c r="T114" s="20" t="n">
        <x:v>1</x:v>
      </x:c>
      <x:c r="U114" s="7" t="str">
        <x:v>暦年・暦月</x:v>
      </x:c>
      <x:c r="V114" s="18"/>
      <x:c r="W114" s="7" t="str">
        <x:v>SRC-d77ac5f76b</x:v>
      </x:c>
      <x:c r="X114" s="7" t="str"/>
      <x:c r="Y114" s="20" t="n">
        <x:v>107</x:v>
      </x:c>
      <x:c r="Z114" s="7" t="str"/>
      <x:c r="AA114" s="7" t="str"/>
      <x:c r="AB114" s="7" t="str"/>
    </x:row>
    <x:row r="115" ht="30" customHeight="1">
      <x:c r="A115" s="7" t="str">
        <x:v>2021年</x:v>
      </x:c>
      <x:c r="B115" s="7" t="str">
        <x:v>年</x:v>
      </x:c>
      <x:c r="C115" s="7" t="str">
        <x:v>ENV-C08</x:v>
      </x:c>
      <x:c r="D115" s="7" t="str">
        <x:v>NIKKO MaaS</x:v>
      </x:c>
      <x:c r="E115" s="7" t="str">
        <x:v>環境省地域CASE事業採択</x:v>
      </x:c>
      <x:c r="F115" s="7" t="str">
        <x:v>採択</x:v>
      </x:c>
      <x:c r="G115" s="7" t="str">
        <x:v>地域事例</x:v>
      </x:c>
      <x:c r="H115" s="7" t="str">
        <x:v>環境省</x:v>
      </x:c>
      <x:c r="I115" s="7" t="str">
        <x:v>栃木県日光市</x:v>
      </x:c>
      <x:c r="J115" s="7" t="str">
        <x:v>ENV-P03</x:v>
      </x:c>
      <x:c r="K115" s="18"/>
      <x:c r="L115" s="7" t="str">
        <x:v>2021年</x:v>
      </x:c>
      <x:c r="M115" s="18" t="n">
        <x:v>46326</x:v>
      </x:c>
      <x:c r="N115" s="7" t="str">
        <x:v>S163</x:v>
      </x:c>
      <x:c r="O115" s="7" t="str">
        <x:v>https://www.env.go.jp/press/109781.html</x:v>
      </x:c>
      <x:c r="P115" s="7" t="str"/>
      <x:c r="Q115" s="7" t="str">
        <x:v>EV-8f84d7ba503b</x:v>
      </x:c>
      <x:c r="R115" s="7" t="str">
        <x:v>ENV-C08</x:v>
      </x:c>
      <x:c r="S115" s="20" t="n">
        <x:v>2021</x:v>
      </x:c>
      <x:c r="T115" s="20" t="n">
        <x:v>1</x:v>
      </x:c>
      <x:c r="U115" s="7" t="str">
        <x:v>暦年・暦月</x:v>
      </x:c>
      <x:c r="V115" s="18"/>
      <x:c r="W115" s="7" t="str">
        <x:v>SRC-5c578ad767</x:v>
      </x:c>
      <x:c r="X115" s="7" t="str"/>
      <x:c r="Y115" s="20" t="n">
        <x:v>108</x:v>
      </x:c>
      <x:c r="Z115" s="7" t="str"/>
      <x:c r="AA115" s="7" t="str"/>
      <x:c r="AB115" s="7" t="str"/>
    </x:row>
    <x:row r="116" ht="30" customHeight="1">
      <x:c r="A116" s="7" t="str">
        <x:v>2021年</x:v>
      </x:c>
      <x:c r="B116" s="7" t="str">
        <x:v>年（資料内記載）</x:v>
      </x:c>
      <x:c r="C116" s="7" t="str">
        <x:v>ENV-C18</x:v>
      </x:c>
      <x:c r="D116" s="7" t="str">
        <x:v>電車回生電力とEVバス超急速充電</x:v>
      </x:c>
      <x:c r="E116" s="7" t="str">
        <x:v>終了評価で当面の展開困難・段階導入方針</x:v>
      </x:c>
      <x:c r="F116" s="7" t="str">
        <x:v>実装未達</x:v>
      </x:c>
      <x:c r="G116" s="7" t="str">
        <x:v>地域事例</x:v>
      </x:c>
      <x:c r="H116" s="7" t="str">
        <x:v>環境省</x:v>
      </x:c>
      <x:c r="I116" s="7" t="str">
        <x:v>埼玉県さいたま市浦和美園</x:v>
      </x:c>
      <x:c r="J116" s="7" t="str">
        <x:v>ENV-P09</x:v>
      </x:c>
      <x:c r="K116" s="18"/>
      <x:c r="L116" s="7" t="str"/>
      <x:c r="M116" s="18" t="n">
        <x:v>46326</x:v>
      </x:c>
      <x:c r="N116" s="7" t="str">
        <x:v>S158</x:v>
      </x:c>
      <x:c r="O116" s="7" t="str">
        <x:v>https://www.env.go.jp/earth/ondanka/cpttv_funds/pdf/db/222.pdf</x:v>
      </x:c>
      <x:c r="P116" s="7" t="str"/>
      <x:c r="Q116" s="7" t="str">
        <x:v>EV-a71ad5392dba</x:v>
      </x:c>
      <x:c r="R116" s="7" t="str">
        <x:v>ENV-C18</x:v>
      </x:c>
      <x:c r="S116" s="20" t="n">
        <x:v>2021</x:v>
      </x:c>
      <x:c r="T116" s="20" t="n">
        <x:v>1</x:v>
      </x:c>
      <x:c r="U116" s="7" t="str">
        <x:v>暦年・暦月</x:v>
      </x:c>
      <x:c r="V116" s="18"/>
      <x:c r="W116" s="7" t="str">
        <x:v>SRC-b7e7392af8</x:v>
      </x:c>
      <x:c r="X116" s="7" t="str"/>
      <x:c r="Y116" s="20" t="n">
        <x:v>109</x:v>
      </x:c>
      <x:c r="Z116" s="7" t="str"/>
      <x:c r="AA116" s="7" t="str"/>
      <x:c r="AB116" s="7" t="str"/>
    </x:row>
    <x:row r="117" ht="30" customHeight="1">
      <x:c r="A117" s="7" t="str">
        <x:v>2021年1月</x:v>
      </x:c>
      <x:c r="B117" s="7" t="str">
        <x:v>月</x:v>
      </x:c>
      <x:c r="C117" s="7" t="str">
        <x:v>ENV-C05</x:v>
      </x:c>
      <x:c r="D117" s="7" t="str">
        <x:v>コトコト感幸バス</x:v>
      </x:c>
      <x:c r="E117" s="7" t="str">
        <x:v>住民ルート見直し</x:v>
      </x:c>
      <x:c r="F117" s="7" t="str">
        <x:v>運行変更</x:v>
      </x:c>
      <x:c r="G117" s="7" t="str">
        <x:v>地域事例</x:v>
      </x:c>
      <x:c r="H117" s="7" t="str">
        <x:v>環境省</x:v>
      </x:c>
      <x:c r="I117" s="7" t="str">
        <x:v>香川県琴平町</x:v>
      </x:c>
      <x:c r="J117" s="7" t="str">
        <x:v>ENV-P02</x:v>
      </x:c>
      <x:c r="K117" s="18"/>
      <x:c r="L117" s="7" t="str"/>
      <x:c r="M117" s="18" t="n">
        <x:v>46326</x:v>
      </x:c>
      <x:c r="N117" s="7" t="str">
        <x:v>S146</x:v>
      </x:c>
      <x:c r="O117" s="7" t="str">
        <x:v>https://www.env.go.jp/content/000126068.pdf</x:v>
      </x:c>
      <x:c r="P117" s="7" t="str"/>
      <x:c r="Q117" s="7" t="str">
        <x:v>EV-ae8223f6e824</x:v>
      </x:c>
      <x:c r="R117" s="7" t="str">
        <x:v>ENV-C05</x:v>
      </x:c>
      <x:c r="S117" s="20" t="n">
        <x:v>2021</x:v>
      </x:c>
      <x:c r="T117" s="20" t="n">
        <x:v>1</x:v>
      </x:c>
      <x:c r="U117" s="7" t="str">
        <x:v>暦年・暦月</x:v>
      </x:c>
      <x:c r="V117" s="18"/>
      <x:c r="W117" s="7" t="str">
        <x:v>SRC-34d5e30cc6</x:v>
      </x:c>
      <x:c r="X117" s="7" t="str"/>
      <x:c r="Y117" s="20" t="n">
        <x:v>110</x:v>
      </x:c>
      <x:c r="Z117" s="7" t="str"/>
      <x:c r="AA117" s="7" t="str"/>
      <x:c r="AB117" s="7" t="str"/>
    </x:row>
    <x:row r="118" ht="83" customHeight="1">
      <x:c r="A118" s="7" t="str">
        <x:v>2021年</x:v>
      </x:c>
      <x:c r="B118" s="7" t="str">
        <x:v>年</x:v>
      </x:c>
      <x:c r="C118" s="7" t="str"/>
      <x:c r="D118" s="7" t="str">
        <x:v>国土交通省の政策動向</x:v>
      </x:c>
      <x:c r="E118" s="7" t="str">
        <x:v>MaaS社会実装12。奥永源寺・みやま・飯南が運行へ。グリスロ当該実証調査は最終年度。</x:v>
      </x:c>
      <x:c r="F118" s="7" t="str"/>
      <x:c r="G118" s="7" t="str">
        <x:v>政策制度</x:v>
      </x:c>
      <x:c r="H118" s="7" t="str">
        <x:v>国土交通省</x:v>
      </x:c>
      <x:c r="I118" s="7" t="str"/>
      <x:c r="J118" s="7" t="str"/>
      <x:c r="K118" s="18"/>
      <x:c r="L118" s="7" t="str"/>
      <x:c r="M118" s="18" t="n">
        <x:v>46326</x:v>
      </x:c>
      <x:c r="N118" s="7" t="str">
        <x:v>S271
S192
S333
S178
S258</x:v>
      </x:c>
      <x:c r="O118" s="7" t="str">
        <x:v>https://www.mlit.go.jp/sogoseisaku/environment/sosei_environment_fr_000152.html</x:v>
      </x:c>
      <x:c r="P118" s="7" t="str"/>
      <x:c r="Q118" s="7" t="str">
        <x:v>EV-da70bd0719b5</x:v>
      </x:c>
      <x:c r="R118" s="7" t="str">
        <x:v>mlit</x:v>
      </x:c>
      <x:c r="S118" s="20" t="n">
        <x:v>2021</x:v>
      </x:c>
      <x:c r="T118" s="20" t="n">
        <x:v>1</x:v>
      </x:c>
      <x:c r="U118" s="7" t="str">
        <x:v>暦年・暦月</x:v>
      </x:c>
      <x:c r="V118" s="18"/>
      <x:c r="W118" s="7" t="str">
        <x:v>SRC-dc31021747
SRC-6c5dc4fc02
SRC-9d6b6f68ea
SRC-e3e51bf75a
SRC-cab746b9fe</x:v>
      </x:c>
      <x:c r="X118" s="7" t="str">
        <x:v>https://www.mlit.go.jp/sogoseisaku/transport/sosei_transport_tk_000160.html
https://www.kkr.mlit.go.jp/road/dgmx/jidouunten/okueigenji.html
https://www8.cao.go.jp/cstp/stmain/20210712sipadus.html
https://www.iinan.jp/uploaded/attachment/7631.pdf</x:v>
      </x:c>
      <x:c r="Y118" s="20" t="n">
        <x:v>111</x:v>
      </x:c>
      <x:c r="Z118" s="7" t="str"/>
      <x:c r="AA118" s="7" t="str"/>
      <x:c r="AB118" s="7" t="str"/>
    </x:row>
    <x:row r="119" ht="30" customHeight="1">
      <x:c r="A119" s="7" t="str">
        <x:v>2021年</x:v>
      </x:c>
      <x:c r="B119" s="7" t="str">
        <x:v>年</x:v>
      </x:c>
      <x:c r="C119" s="7" t="str">
        <x:v>meti_tepco_v2g</x:v>
      </x:c>
      <x:c r="D119" s="7" t="str">
        <x:v>TEPCO V2G複数拠点</x:v>
      </x:c>
      <x:c r="E119" s="7" t="str">
        <x:v>実証成果を公表</x:v>
      </x:c>
      <x:c r="F119" s="7" t="str">
        <x:v>事業終了後報告</x:v>
      </x:c>
      <x:c r="G119" s="7" t="str">
        <x:v>地域事例</x:v>
      </x:c>
      <x:c r="H119" s="7" t="str">
        <x:v>経済産業省</x:v>
      </x:c>
      <x:c r="I119" s="7" t="str">
        <x:v>静岡県富士市等・愛知県岡崎市等</x:v>
      </x:c>
      <x:c r="J119" s="7" t="str">
        <x:v>vpp</x:v>
      </x:c>
      <x:c r="K119" s="18" t="str">
        <x:v>2021</x:v>
      </x:c>
      <x:c r="L119" s="7" t="str">
        <x:v>2021</x:v>
      </x:c>
      <x:c r="M119" s="18" t="n">
        <x:v>46326</x:v>
      </x:c>
      <x:c r="N119" s="7" t="str">
        <x:v>S039</x:v>
      </x:c>
      <x:c r="O119" s="7" t="str">
        <x:v>https://sii.or.jp/vpp02/uploads/B2_tepco.pdf</x:v>
      </x:c>
      <x:c r="P119" s="7" t="str"/>
      <x:c r="Q119" s="7" t="str">
        <x:v>EV-eccc73e4493f</x:v>
      </x:c>
      <x:c r="R119" s="7" t="str">
        <x:v>meti_tepco_v2g</x:v>
      </x:c>
      <x:c r="S119" s="20" t="n">
        <x:v>2021</x:v>
      </x:c>
      <x:c r="T119" s="20" t="n">
        <x:v>1</x:v>
      </x:c>
      <x:c r="U119" s="7" t="str">
        <x:v>暦年・暦月</x:v>
      </x:c>
      <x:c r="V119" s="18"/>
      <x:c r="W119" s="7" t="str">
        <x:v>SRC-32212cfeb1</x:v>
      </x:c>
      <x:c r="X119" s="7" t="str"/>
      <x:c r="Y119" s="20" t="n">
        <x:v>112</x:v>
      </x:c>
      <x:c r="Z119" s="7" t="str"/>
      <x:c r="AA119" s="7" t="str"/>
      <x:c r="AB119" s="7" t="str"/>
    </x:row>
    <x:row r="120" ht="68.80000305175781" customHeight="1">
      <x:c r="A120" s="7" t="str">
        <x:v>2021-01-13/2021-01-22</x:v>
      </x:c>
      <x:c r="B120" s="7" t="str">
        <x:v>期間</x:v>
      </x:c>
      <x:c r="C120" s="7" t="str">
        <x:v>DIG-C04</x:v>
      </x:c>
      <x:c r="D120" s="7" t="str">
        <x:v>沼津大手町交差点5G路車協調</x:v>
      </x:c>
      <x:c r="E120" s="7" t="str">
        <x:v>告知された実証期間。完了・常設化の独立確認は未取得。</x:v>
      </x:c>
      <x:c r="F120" s="7" t="str">
        <x:v>実証予定</x:v>
      </x:c>
      <x:c r="G120" s="7" t="str">
        <x:v>地域事例</x:v>
      </x:c>
      <x:c r="H120" s="7" t="str">
        <x:v>総務省
事務局
地域コンソーシアム
内閣府・総務省・デジタル庁等</x:v>
      </x:c>
      <x:c r="I120" s="7" t="str">
        <x:v>静岡県沼津市</x:v>
      </x:c>
      <x:c r="J120" s="7" t="str">
        <x:v>DIG-P14</x:v>
      </x:c>
      <x:c r="K120" s="18" t="n">
        <x:v>44209</x:v>
      </x:c>
      <x:c r="L120" s="7" t="str">
        <x:v>2021-01-13</x:v>
      </x:c>
      <x:c r="M120" s="18" t="n">
        <x:v>46326</x:v>
      </x:c>
      <x:c r="N120" s="7" t="str">
        <x:v>S175</x:v>
      </x:c>
      <x:c r="O120" s="7" t="str">
        <x:v>https://www.gunma-u.ac.jp/information/84393</x:v>
      </x:c>
      <x:c r="P120" s="7" t="str">
        <x:v>同一期間内の厳密な前後関係は日付精度により未確定</x:v>
      </x:c>
      <x:c r="Q120" s="7" t="str">
        <x:v>EV-36a0d0148560</x:v>
      </x:c>
      <x:c r="R120" s="7" t="str">
        <x:v>DIG-C04</x:v>
      </x:c>
      <x:c r="S120" s="20" t="n">
        <x:v>2021</x:v>
      </x:c>
      <x:c r="T120" s="20" t="n">
        <x:v>1</x:v>
      </x:c>
      <x:c r="U120" s="7" t="str">
        <x:v>暦年・暦月</x:v>
      </x:c>
      <x:c r="V120" s="18"/>
      <x:c r="W120" s="7" t="str">
        <x:v>SRC-f76df920ec</x:v>
      </x:c>
      <x:c r="X120" s="7" t="str"/>
      <x:c r="Y120" s="20" t="n">
        <x:v>113</x:v>
      </x:c>
      <x:c r="Z120" s="7" t="str"/>
      <x:c r="AA120" s="7" t="str"/>
      <x:c r="AB120" s="7" t="str"/>
    </x:row>
    <x:row r="121" ht="125.5999984741211" customHeight="1">
      <x:c r="A121" s="7" t="str">
        <x:v>2021年1月13日</x:v>
      </x:c>
      <x:c r="B121" s="7" t="str">
        <x:v>日</x:v>
      </x:c>
      <x:c r="C121" s="7" t="str">
        <x:v>DIG-C03</x:v>
      </x:c>
      <x:c r="D121" s="7" t="str">
        <x:v>前橋駅～中央前橋駅5G遠隔監視／路車協調</x:v>
      </x:c>
      <x:c r="E121" s="7" t="str">
        <x:v>群馬大学等が5G公道実証計画発表。安全運転者は車内配置。</x:v>
      </x:c>
      <x:c r="F121" s="7" t="str">
        <x:v>実証告知</x:v>
      </x:c>
      <x:c r="G121" s="7" t="str">
        <x:v>地域事例</x:v>
      </x:c>
      <x:c r="H121" s="7" t="str">
        <x:v>総務省
事務局
地域コンソーシアム
三菱総合研究所（事務局）
内閣官房・内閣府地方創生
デジタル庁（基盤・実装支援）
地方自治体
内閣府・総務省・デジタル庁等</x:v>
      </x:c>
      <x:c r="I121" s="7" t="str">
        <x:v>群馬県前橋市（R6は中之条町共同）</x:v>
      </x:c>
      <x:c r="J121" s="7" t="str">
        <x:v>DIG-P14
DIG-P15
DIG-P12</x:v>
      </x:c>
      <x:c r="K121" s="18" t="n">
        <x:v>44209</x:v>
      </x:c>
      <x:c r="L121" s="7" t="str">
        <x:v>2021-01-13</x:v>
      </x:c>
      <x:c r="M121" s="18" t="n">
        <x:v>46326</x:v>
      </x:c>
      <x:c r="N121" s="7" t="str">
        <x:v>S175</x:v>
      </x:c>
      <x:c r="O121" s="7" t="str">
        <x:v>https://www.gunma-u.ac.jp/information/84393</x:v>
      </x:c>
      <x:c r="P121" s="7" t="str"/>
      <x:c r="Q121" s="7" t="str">
        <x:v>EV-4ed16512cc0f</x:v>
      </x:c>
      <x:c r="R121" s="7" t="str">
        <x:v>DIG-C03</x:v>
      </x:c>
      <x:c r="S121" s="20" t="n">
        <x:v>2021</x:v>
      </x:c>
      <x:c r="T121" s="20" t="n">
        <x:v>1</x:v>
      </x:c>
      <x:c r="U121" s="7" t="str">
        <x:v>暦年・暦月</x:v>
      </x:c>
      <x:c r="V121" s="18" t="n">
        <x:v>44209</x:v>
      </x:c>
      <x:c r="W121" s="7" t="str">
        <x:v>SRC-f76df920ec</x:v>
      </x:c>
      <x:c r="X121" s="7" t="str"/>
      <x:c r="Y121" s="20" t="n">
        <x:v>114</x:v>
      </x:c>
      <x:c r="Z121" s="7" t="str"/>
      <x:c r="AA121" s="7" t="str"/>
      <x:c r="AB121" s="7" t="str"/>
    </x:row>
    <x:row r="122" ht="40.400001525878906" customHeight="1">
      <x:c r="A122" s="7" t="str">
        <x:v>2021年1月13日</x:v>
      </x:c>
      <x:c r="B122" s="7" t="str">
        <x:v>日</x:v>
      </x:c>
      <x:c r="C122" s="7" t="str">
        <x:v>mlit_dento</x:v>
      </x:c>
      <x:c r="D122" s="7" t="str">
        <x:v>DENTO 郊外型MaaS</x:v>
      </x:c>
      <x:c r="E122" s="7" t="str">
        <x:v>実証開始</x:v>
      </x:c>
      <x:c r="F122" s="7" t="str">
        <x:v>実証</x:v>
      </x:c>
      <x:c r="G122" s="7" t="str">
        <x:v>地域事例</x:v>
      </x:c>
      <x:c r="H122" s="7" t="str">
        <x:v>国土交通省</x:v>
      </x:c>
      <x:c r="I122" s="7" t="str">
        <x:v>神奈川県・東京都 田園都市線沿線</x:v>
      </x:c>
      <x:c r="J122" s="7" t="str">
        <x:v>maas_japan</x:v>
      </x:c>
      <x:c r="K122" s="18" t="n">
        <x:v>44327</x:v>
      </x:c>
      <x:c r="L122" s="7" t="str">
        <x:v>2021-05-11</x:v>
      </x:c>
      <x:c r="M122" s="18" t="n">
        <x:v>46326</x:v>
      </x:c>
      <x:c r="N122" s="7" t="str">
        <x:v>S319</x:v>
      </x:c>
      <x:c r="O122" s="7" t="str">
        <x:v>https://www.tokyu.co.jp/company/news/detail/321.html</x:v>
      </x:c>
      <x:c r="P122" s="7" t="str"/>
      <x:c r="Q122" s="7" t="str">
        <x:v>EV-8c86ddeaa6f5</x:v>
      </x:c>
      <x:c r="R122" s="7" t="str">
        <x:v>mlit_dento</x:v>
      </x:c>
      <x:c r="S122" s="20" t="n">
        <x:v>2021</x:v>
      </x:c>
      <x:c r="T122" s="20" t="n">
        <x:v>1</x:v>
      </x:c>
      <x:c r="U122" s="7" t="str">
        <x:v>暦年・暦月</x:v>
      </x:c>
      <x:c r="V122" s="18" t="n">
        <x:v>44209</x:v>
      </x:c>
      <x:c r="W122" s="7" t="str">
        <x:v>SRC-ebdd15ebf0</x:v>
      </x:c>
      <x:c r="X122" s="7" t="str"/>
      <x:c r="Y122" s="20" t="n">
        <x:v>115</x:v>
      </x:c>
      <x:c r="Z122" s="7" t="str"/>
      <x:c r="AA122" s="7" t="str"/>
      <x:c r="AB122" s="7" t="str"/>
    </x:row>
    <x:row r="123" ht="68.80000305175781" customHeight="1">
      <x:c r="A123" s="7" t="str">
        <x:v>2021年1月13日</x:v>
      </x:c>
      <x:c r="B123" s="7" t="str">
        <x:v>日</x:v>
      </x:c>
      <x:c r="C123" s="7" t="str">
        <x:v>DIG-C04</x:v>
      </x:c>
      <x:c r="D123" s="7" t="str">
        <x:v>沼津大手町交差点5G路車協調</x:v>
      </x:c>
      <x:c r="E123" s="7" t="str">
        <x:v>沼津大手町交差点で歩行者/交差点情報を使う公道実証を発表。</x:v>
      </x:c>
      <x:c r="F123" s="7" t="str">
        <x:v>実証告知</x:v>
      </x:c>
      <x:c r="G123" s="7" t="str">
        <x:v>地域事例</x:v>
      </x:c>
      <x:c r="H123" s="7" t="str">
        <x:v>総務省
事務局
地域コンソーシアム
内閣府・総務省・デジタル庁等</x:v>
      </x:c>
      <x:c r="I123" s="7" t="str">
        <x:v>静岡県沼津市</x:v>
      </x:c>
      <x:c r="J123" s="7" t="str">
        <x:v>DIG-P14</x:v>
      </x:c>
      <x:c r="K123" s="18" t="n">
        <x:v>44209</x:v>
      </x:c>
      <x:c r="L123" s="7" t="str">
        <x:v>2021-01-13</x:v>
      </x:c>
      <x:c r="M123" s="18" t="n">
        <x:v>46326</x:v>
      </x:c>
      <x:c r="N123" s="7" t="str">
        <x:v>S175</x:v>
      </x:c>
      <x:c r="O123" s="7" t="str">
        <x:v>https://www.gunma-u.ac.jp/information/84393</x:v>
      </x:c>
      <x:c r="P123" s="7" t="str"/>
      <x:c r="Q123" s="7" t="str">
        <x:v>EV-9e5f4bf7868c</x:v>
      </x:c>
      <x:c r="R123" s="7" t="str">
        <x:v>DIG-C04</x:v>
      </x:c>
      <x:c r="S123" s="20" t="n">
        <x:v>2021</x:v>
      </x:c>
      <x:c r="T123" s="20" t="n">
        <x:v>1</x:v>
      </x:c>
      <x:c r="U123" s="7" t="str">
        <x:v>暦年・暦月</x:v>
      </x:c>
      <x:c r="V123" s="18" t="n">
        <x:v>44209</x:v>
      </x:c>
      <x:c r="W123" s="7" t="str">
        <x:v>SRC-f76df920ec</x:v>
      </x:c>
      <x:c r="X123" s="7" t="str"/>
      <x:c r="Y123" s="20" t="n">
        <x:v>116</x:v>
      </x:c>
      <x:c r="Z123" s="7" t="str"/>
      <x:c r="AA123" s="7" t="str"/>
      <x:c r="AB123" s="7" t="str"/>
    </x:row>
    <x:row r="124" ht="54.599998474121094" customHeight="1">
      <x:c r="A124" s="7" t="str">
        <x:v>2021年1月13日</x:v>
      </x:c>
      <x:c r="B124" s="7" t="str">
        <x:v>日</x:v>
      </x:c>
      <x:c r="C124" s="7" t="str">
        <x:v>DIG-P14</x:v>
      </x:c>
      <x:c r="D124" s="7" t="str">
        <x:v>課題解決型ローカル5G等の開発実証（モビリティ）</x:v>
      </x:c>
      <x:c r="E124" s="7" t="str">
        <x:v>総務省委託の前橋・沼津・御殿場各実証の役割と期間を発表。</x:v>
      </x:c>
      <x:c r="F124" s="7" t="str">
        <x:v>実証群告知</x:v>
      </x:c>
      <x:c r="G124" s="7" t="str">
        <x:v>政策制度</x:v>
      </x:c>
      <x:c r="H124" s="7" t="str">
        <x:v>総務省
事務局
地域コンソーシアム</x:v>
      </x:c>
      <x:c r="I124" s="7" t="str"/>
      <x:c r="J124" s="7" t="str">
        <x:v>DIG-P14</x:v>
      </x:c>
      <x:c r="K124" s="18" t="n">
        <x:v>44209</x:v>
      </x:c>
      <x:c r="L124" s="7" t="str">
        <x:v>2021-01-13</x:v>
      </x:c>
      <x:c r="M124" s="18" t="n">
        <x:v>46326</x:v>
      </x:c>
      <x:c r="N124" s="7" t="str">
        <x:v>S175</x:v>
      </x:c>
      <x:c r="O124" s="7" t="str">
        <x:v>https://www.gunma-u.ac.jp/information/84393</x:v>
      </x:c>
      <x:c r="P124" s="7" t="str"/>
      <x:c r="Q124" s="7" t="str">
        <x:v>EV-b8a4ad51f28c</x:v>
      </x:c>
      <x:c r="R124" s="7" t="str">
        <x:v>DIG-P14</x:v>
      </x:c>
      <x:c r="S124" s="20" t="n">
        <x:v>2021</x:v>
      </x:c>
      <x:c r="T124" s="20" t="n">
        <x:v>1</x:v>
      </x:c>
      <x:c r="U124" s="7" t="str">
        <x:v>暦年・暦月</x:v>
      </x:c>
      <x:c r="V124" s="18" t="n">
        <x:v>44209</x:v>
      </x:c>
      <x:c r="W124" s="7" t="str">
        <x:v>SRC-f76df920ec</x:v>
      </x:c>
      <x:c r="X124" s="7" t="str"/>
      <x:c r="Y124" s="20" t="n">
        <x:v>117</x:v>
      </x:c>
      <x:c r="Z124" s="7" t="str"/>
      <x:c r="AA124" s="7" t="str"/>
      <x:c r="AB124" s="7" t="str"/>
    </x:row>
    <x:row r="125" ht="125.5999984741211" customHeight="1">
      <x:c r="A125" s="7" t="str">
        <x:v>2021-02-15/2021-02-28</x:v>
      </x:c>
      <x:c r="B125" s="7" t="str">
        <x:v>期間</x:v>
      </x:c>
      <x:c r="C125" s="7" t="str">
        <x:v>DIG-C03</x:v>
      </x:c>
      <x:c r="D125" s="7" t="str">
        <x:v>前橋駅～中央前橋駅5G遠隔監視／路車協調</x:v>
      </x:c>
      <x:c r="E125" s="7" t="str">
        <x:v>前橋駅～中央前橋駅約1kmで遠隔監視実証を予定。告知だけで完了とはしない。</x:v>
      </x:c>
      <x:c r="F125" s="7" t="str">
        <x:v>実証予定</x:v>
      </x:c>
      <x:c r="G125" s="7" t="str">
        <x:v>地域事例</x:v>
      </x:c>
      <x:c r="H125" s="7" t="str">
        <x:v>総務省
事務局
地域コンソーシアム
三菱総合研究所（事務局）
内閣官房・内閣府地方創生
デジタル庁（基盤・実装支援）
地方自治体
内閣府・総務省・デジタル庁等</x:v>
      </x:c>
      <x:c r="I125" s="7" t="str">
        <x:v>群馬県前橋市（R6は中之条町共同）</x:v>
      </x:c>
      <x:c r="J125" s="7" t="str">
        <x:v>DIG-P14
DIG-P15
DIG-P12</x:v>
      </x:c>
      <x:c r="K125" s="18" t="n">
        <x:v>44209</x:v>
      </x:c>
      <x:c r="L125" s="7" t="str">
        <x:v>2021-01-13</x:v>
      </x:c>
      <x:c r="M125" s="18" t="n">
        <x:v>46326</x:v>
      </x:c>
      <x:c r="N125" s="7" t="str">
        <x:v>S175</x:v>
      </x:c>
      <x:c r="O125" s="7" t="str">
        <x:v>https://www.gunma-u.ac.jp/information/84393</x:v>
      </x:c>
      <x:c r="P125" s="7" t="str"/>
      <x:c r="Q125" s="7" t="str">
        <x:v>EV-98cc8ee7e3cf</x:v>
      </x:c>
      <x:c r="R125" s="7" t="str">
        <x:v>DIG-C03</x:v>
      </x:c>
      <x:c r="S125" s="20" t="n">
        <x:v>2021</x:v>
      </x:c>
      <x:c r="T125" s="20" t="n">
        <x:v>2</x:v>
      </x:c>
      <x:c r="U125" s="7" t="str">
        <x:v>暦年・暦月</x:v>
      </x:c>
      <x:c r="V125" s="18"/>
      <x:c r="W125" s="7" t="str">
        <x:v>SRC-f76df920ec</x:v>
      </x:c>
      <x:c r="X125" s="7" t="str"/>
      <x:c r="Y125" s="20" t="n">
        <x:v>118</x:v>
      </x:c>
      <x:c r="Z125" s="7" t="str"/>
      <x:c r="AA125" s="7" t="str"/>
      <x:c r="AB125" s="7" t="str"/>
    </x:row>
    <x:row r="126" ht="40.400001525878906" customHeight="1">
      <x:c r="A126" s="7" t="str">
        <x:v>2021年2月22日</x:v>
      </x:c>
      <x:c r="B126" s="7" t="str">
        <x:v>日</x:v>
      </x:c>
      <x:c r="C126" s="7" t="str">
        <x:v>meti_shintomei</x:v>
      </x:c>
      <x:c r="D126" s="7" t="str">
        <x:v>新東名トラック隊列→高速L4</x:v>
      </x:c>
      <x:c r="E126" s="7" t="str">
        <x:v>新東名で後続車運転席無人実証</x:v>
      </x:c>
      <x:c r="F126" s="7" t="str">
        <x:v>技術実証</x:v>
      </x:c>
      <x:c r="G126" s="7" t="str">
        <x:v>地域事例</x:v>
      </x:c>
      <x:c r="H126" s="7" t="str">
        <x:v>経済産業省
国土交通省</x:v>
      </x:c>
      <x:c r="I126" s="7" t="str">
        <x:v>静岡県・新東名高速</x:v>
      </x:c>
      <x:c r="J126" s="7" t="str">
        <x:v>platoon
roadl4</x:v>
      </x:c>
      <x:c r="K126" s="18"/>
      <x:c r="L126" s="7" t="str"/>
      <x:c r="M126" s="18" t="n">
        <x:v>46326</x:v>
      </x:c>
      <x:c r="N126" s="7" t="str">
        <x:v>S208</x:v>
      </x:c>
      <x:c r="O126" s="7" t="str">
        <x:v>https://www.meti.go.jp/policy/mono_info_service/mono/automobile/jido_soko/pdf/012_s01_00.pdf</x:v>
      </x:c>
      <x:c r="P126" s="7" t="str"/>
      <x:c r="Q126" s="7" t="str">
        <x:v>EV-d39cc61f6e7a</x:v>
      </x:c>
      <x:c r="R126" s="7" t="str">
        <x:v>meti_shintomei</x:v>
      </x:c>
      <x:c r="S126" s="20" t="n">
        <x:v>2021</x:v>
      </x:c>
      <x:c r="T126" s="20" t="n">
        <x:v>2</x:v>
      </x:c>
      <x:c r="U126" s="7" t="str">
        <x:v>暦年・暦月</x:v>
      </x:c>
      <x:c r="V126" s="18" t="n">
        <x:v>44249</x:v>
      </x:c>
      <x:c r="W126" s="7" t="str">
        <x:v>SRC-63ba9ee69f</x:v>
      </x:c>
      <x:c r="X126" s="7" t="str"/>
      <x:c r="Y126" s="20" t="n">
        <x:v>119</x:v>
      </x:c>
      <x:c r="Z126" s="7" t="str"/>
      <x:c r="AA126" s="7" t="str"/>
      <x:c r="AB126" s="7" t="str"/>
    </x:row>
    <x:row r="127" ht="40.400001525878906" customHeight="1">
      <x:c r="A127" s="7" t="str">
        <x:v>2021年3月</x:v>
      </x:c>
      <x:c r="B127" s="7" t="str">
        <x:v>月</x:v>
      </x:c>
      <x:c r="C127" s="7" t="str">
        <x:v>V-C13</x:v>
      </x:c>
      <x:c r="D127" s="7" t="str">
        <x:v>熊本5社共同経営</x:v>
      </x:c>
      <x:c r="E127" s="7" t="str">
        <x:v>共同経営推進室へ移行</x:v>
      </x:c>
      <x:c r="F127" s="7" t="str">
        <x:v>共同経営体制</x:v>
      </x:c>
      <x:c r="G127" s="7" t="str">
        <x:v>地域事例</x:v>
      </x:c>
      <x:c r="H127" s="7" t="str">
        <x:v>横断検証（個別所管は資料参照）</x:v>
      </x:c>
      <x:c r="I127" s="7" t="str">
        <x:v>熊本県熊本市</x:v>
      </x:c>
      <x:c r="J127" s="7" t="str"/>
      <x:c r="K127" s="18"/>
      <x:c r="L127" s="7" t="str"/>
      <x:c r="M127" s="18" t="n">
        <x:v>46326</x:v>
      </x:c>
      <x:c r="N127" s="7" t="str">
        <x:v>S082</x:v>
      </x:c>
      <x:c r="O127" s="7" t="str">
        <x:v>https://www.city.kumamoto.jp/kiji0032432/3_2432_495498_up_emz8jvz1.pdf</x:v>
      </x:c>
      <x:c r="P127" s="7" t="str"/>
      <x:c r="Q127" s="7" t="str">
        <x:v>EV-3098843c6450</x:v>
      </x:c>
      <x:c r="R127" s="7" t="str">
        <x:v>V-C13</x:v>
      </x:c>
      <x:c r="S127" s="20" t="n">
        <x:v>2021</x:v>
      </x:c>
      <x:c r="T127" s="20" t="n">
        <x:v>3</x:v>
      </x:c>
      <x:c r="U127" s="7" t="str">
        <x:v>暦年・暦月</x:v>
      </x:c>
      <x:c r="V127" s="18"/>
      <x:c r="W127" s="7" t="str">
        <x:v>SRC-25815fa80f</x:v>
      </x:c>
      <x:c r="X127" s="7" t="str"/>
      <x:c r="Y127" s="20" t="n">
        <x:v>120</x:v>
      </x:c>
      <x:c r="Z127" s="7" t="str"/>
      <x:c r="AA127" s="7" t="str"/>
      <x:c r="AB127" s="7" t="str"/>
    </x:row>
    <x:row r="128" ht="54.599998474121094" customHeight="1">
      <x:c r="A128" s="7" t="str">
        <x:v>2021年3月</x:v>
      </x:c>
      <x:c r="B128" s="7" t="str">
        <x:v>月</x:v>
      </x:c>
      <x:c r="C128" s="7" t="str">
        <x:v>DIG-P05</x:v>
      </x:c>
      <x:c r="D128" s="7" t="str">
        <x:v>未来技術社会実装事業</x:v>
      </x:c>
      <x:c r="E128" s="7" t="str">
        <x:v>2018年度選定事業の取りまとめ報告を公表。</x:v>
      </x:c>
      <x:c r="F128" s="7" t="str">
        <x:v>成果報告</x:v>
      </x:c>
      <x:c r="G128" s="7" t="str">
        <x:v>政策制度</x:v>
      </x:c>
      <x:c r="H128" s="7" t="str">
        <x:v>内閣府地方創生
関係府省
地方自治体</x:v>
      </x:c>
      <x:c r="I128" s="7" t="str"/>
      <x:c r="J128" s="7" t="str">
        <x:v>DIG-P05</x:v>
      </x:c>
      <x:c r="K128" s="18" t="str">
        <x:v>2021-03</x:v>
      </x:c>
      <x:c r="L128" s="7" t="str">
        <x:v>2021-03</x:v>
      </x:c>
      <x:c r="M128" s="18" t="n">
        <x:v>46326</x:v>
      </x:c>
      <x:c r="N128" s="7" t="str">
        <x:v>S066</x:v>
      </x:c>
      <x:c r="O128" s="7" t="str">
        <x:v>https://www.chisou.go.jp/tiiki/kinmirai/pdf/01_mirai_h30torimatome.pdf</x:v>
      </x:c>
      <x:c r="P128" s="7" t="str"/>
      <x:c r="Q128" s="7" t="str">
        <x:v>EV-30d430ba2fa4</x:v>
      </x:c>
      <x:c r="R128" s="7" t="str">
        <x:v>DIG-P05</x:v>
      </x:c>
      <x:c r="S128" s="20" t="n">
        <x:v>2021</x:v>
      </x:c>
      <x:c r="T128" s="20" t="n">
        <x:v>3</x:v>
      </x:c>
      <x:c r="U128" s="7" t="str">
        <x:v>暦年・暦月</x:v>
      </x:c>
      <x:c r="V128" s="18"/>
      <x:c r="W128" s="7" t="str">
        <x:v>SRC-b7027fcd32</x:v>
      </x:c>
      <x:c r="X128" s="7" t="str"/>
      <x:c r="Y128" s="20" t="n">
        <x:v>121</x:v>
      </x:c>
      <x:c r="Z128" s="7" t="str"/>
      <x:c r="AA128" s="7" t="str"/>
      <x:c r="AB128" s="7" t="str"/>
    </x:row>
    <x:row r="129" ht="40.400001525878906" customHeight="1">
      <x:c r="A129" s="7" t="str">
        <x:v>2021年3月25日</x:v>
      </x:c>
      <x:c r="B129" s="7" t="str">
        <x:v>日</x:v>
      </x:c>
      <x:c r="C129" s="7" t="str">
        <x:v>meti_eiheiji</x:v>
      </x:c>
      <x:c r="D129" s="7" t="str">
        <x:v>永平寺町 ZEN drive</x:v>
      </x:c>
      <x:c r="E129" s="7" t="str">
        <x:v>L3本格運行</x:v>
      </x:c>
      <x:c r="F129" s="7" t="str">
        <x:v>実装</x:v>
      </x:c>
      <x:c r="G129" s="7" t="str">
        <x:v>地域事例</x:v>
      </x:c>
      <x:c r="H129" s="7" t="str">
        <x:v>経済産業省
横断検証（個別所管は資料参照）</x:v>
      </x:c>
      <x:c r="I129" s="7" t="str">
        <x:v>福井県永平寺町</x:v>
      </x:c>
      <x:c r="J129" s="7" t="str">
        <x:v>lastmile
roadl4</x:v>
      </x:c>
      <x:c r="K129" s="18" t="n">
        <x:v>44278</x:v>
      </x:c>
      <x:c r="L129" s="7" t="str">
        <x:v>2021-03-23</x:v>
      </x:c>
      <x:c r="M129" s="18" t="n">
        <x:v>46326</x:v>
      </x:c>
      <x:c r="N129" s="7" t="str">
        <x:v>S058</x:v>
      </x:c>
      <x:c r="O129" s="7" t="str">
        <x:v>https://www.aist.go.jp/aist_j/news/au20210323.html</x:v>
      </x:c>
      <x:c r="P129" s="7" t="str"/>
      <x:c r="Q129" s="7" t="str">
        <x:v>EV-db87c25ce052</x:v>
      </x:c>
      <x:c r="R129" s="7" t="str">
        <x:v>meti_eiheiji</x:v>
      </x:c>
      <x:c r="S129" s="20" t="n">
        <x:v>2021</x:v>
      </x:c>
      <x:c r="T129" s="20" t="n">
        <x:v>3</x:v>
      </x:c>
      <x:c r="U129" s="7" t="str">
        <x:v>暦年・暦月</x:v>
      </x:c>
      <x:c r="V129" s="18" t="n">
        <x:v>44280</x:v>
      </x:c>
      <x:c r="W129" s="7" t="str">
        <x:v>SRC-d3d8b500d6</x:v>
      </x:c>
      <x:c r="X129" s="7" t="str"/>
      <x:c r="Y129" s="20" t="n">
        <x:v>122</x:v>
      </x:c>
      <x:c r="Z129" s="7" t="str"/>
      <x:c r="AA129" s="7" t="str"/>
      <x:c r="AB129" s="7" t="str"/>
    </x:row>
    <x:row r="130" ht="30" customHeight="1">
      <x:c r="A130" s="7" t="str">
        <x:v>2021年3月29日</x:v>
      </x:c>
      <x:c r="B130" s="7" t="str">
        <x:v>日</x:v>
      </x:c>
      <x:c r="C130" s="7" t="str">
        <x:v>mlit_saitama</x:v>
      </x:c>
      <x:c r="D130" s="7" t="str">
        <x:v>美園 AIオンデマンド・ライフサポート型MaaS</x:v>
      </x:c>
      <x:c r="E130" s="7" t="str">
        <x:v>オンデマンド実験開始（4月25日まで）</x:v>
      </x:c>
      <x:c r="F130" s="7" t="str">
        <x:v>実証</x:v>
      </x:c>
      <x:c r="G130" s="7" t="str">
        <x:v>地域事例</x:v>
      </x:c>
      <x:c r="H130" s="7" t="str">
        <x:v>国土交通省</x:v>
      </x:c>
      <x:c r="I130" s="7" t="str">
        <x:v>埼玉県さいたま市美園地区</x:v>
      </x:c>
      <x:c r="J130" s="7" t="str">
        <x:v>smartcity</x:v>
      </x:c>
      <x:c r="K130" s="18" t="str">
        <x:v>2021-08</x:v>
      </x:c>
      <x:c r="L130" s="7" t="str">
        <x:v>2021-08</x:v>
      </x:c>
      <x:c r="M130" s="18" t="n">
        <x:v>46326</x:v>
      </x:c>
      <x:c r="N130" s="7" t="str">
        <x:v>S276</x:v>
      </x:c>
      <x:c r="O130" s="7" t="str">
        <x:v>https://www.mlit.go.jp/toshi/tosiko/content/001475403.pdf</x:v>
      </x:c>
      <x:c r="P130" s="7" t="str"/>
      <x:c r="Q130" s="7" t="str">
        <x:v>EV-c97521bc6681</x:v>
      </x:c>
      <x:c r="R130" s="7" t="str">
        <x:v>mlit_saitama</x:v>
      </x:c>
      <x:c r="S130" s="20" t="n">
        <x:v>2021</x:v>
      </x:c>
      <x:c r="T130" s="20" t="n">
        <x:v>3</x:v>
      </x:c>
      <x:c r="U130" s="7" t="str">
        <x:v>暦年・暦月</x:v>
      </x:c>
      <x:c r="V130" s="18" t="n">
        <x:v>44284</x:v>
      </x:c>
      <x:c r="W130" s="7" t="str">
        <x:v>SRC-b6d2a3cc97</x:v>
      </x:c>
      <x:c r="X130" s="7" t="str"/>
      <x:c r="Y130" s="20" t="n">
        <x:v>123</x:v>
      </x:c>
      <x:c r="Z130" s="7" t="str"/>
      <x:c r="AA130" s="7" t="str"/>
      <x:c r="AB130" s="7" t="str"/>
    </x:row>
    <x:row r="131" ht="30" customHeight="1">
      <x:c r="A131" s="7" t="str">
        <x:v>2021年3月31日</x:v>
      </x:c>
      <x:c r="B131" s="7" t="str">
        <x:v>日</x:v>
      </x:c>
      <x:c r="C131" s="7" t="str">
        <x:v>mlit_izuko</x:v>
      </x:c>
      <x:c r="D131" s="7" t="str">
        <x:v>観光型MaaS Izuko</x:v>
      </x:c>
      <x:c r="E131" s="7" t="str">
        <x:v>Phase3期間終了</x:v>
      </x:c>
      <x:c r="F131" s="7" t="str">
        <x:v>実証終了</x:v>
      </x:c>
      <x:c r="G131" s="7" t="str">
        <x:v>地域事例</x:v>
      </x:c>
      <x:c r="H131" s="7" t="str">
        <x:v>国土交通省</x:v>
      </x:c>
      <x:c r="I131" s="7" t="str">
        <x:v>静岡県伊豆半島・静岡方面</x:v>
      </x:c>
      <x:c r="J131" s="7" t="str">
        <x:v>maas_japan</x:v>
      </x:c>
      <x:c r="K131" s="18" t="n">
        <x:v>44313</x:v>
      </x:c>
      <x:c r="L131" s="7" t="str">
        <x:v>2021-04-27</x:v>
      </x:c>
      <x:c r="M131" s="18" t="n">
        <x:v>46326</x:v>
      </x:c>
      <x:c r="N131" s="7" t="str">
        <x:v>S321</x:v>
      </x:c>
      <x:c r="O131" s="7" t="str">
        <x:v>https://www.tokyu.co.jp/company/news/pdf/20210427-1.pdf</x:v>
      </x:c>
      <x:c r="P131" s="7" t="str"/>
      <x:c r="Q131" s="7" t="str">
        <x:v>EV-06efdb49d015</x:v>
      </x:c>
      <x:c r="R131" s="7" t="str">
        <x:v>mlit_izuko</x:v>
      </x:c>
      <x:c r="S131" s="20" t="n">
        <x:v>2021</x:v>
      </x:c>
      <x:c r="T131" s="20" t="n">
        <x:v>3</x:v>
      </x:c>
      <x:c r="U131" s="7" t="str">
        <x:v>暦年・暦月</x:v>
      </x:c>
      <x:c r="V131" s="18" t="n">
        <x:v>44286</x:v>
      </x:c>
      <x:c r="W131" s="7" t="str">
        <x:v>SRC-ee011dca8a</x:v>
      </x:c>
      <x:c r="X131" s="7" t="str"/>
      <x:c r="Y131" s="20" t="n">
        <x:v>124</x:v>
      </x:c>
      <x:c r="Z131" s="7" t="str"/>
      <x:c r="AA131" s="7" t="str"/>
      <x:c r="AB131" s="7" t="str"/>
    </x:row>
    <x:row r="132" ht="40.400001525878906" customHeight="1">
      <x:c r="A132" s="7" t="str">
        <x:v>2021年3月31日</x:v>
      </x:c>
      <x:c r="B132" s="7" t="str">
        <x:v>日</x:v>
      </x:c>
      <x:c r="C132" s="7" t="str">
        <x:v>meti_chatan</x:v>
      </x:c>
      <x:c r="D132" s="7" t="str">
        <x:v>北谷町海岸沿い遠隔カート</x:v>
      </x:c>
      <x:c r="E132" s="7" t="str">
        <x:v>遠隔1対2のサービス開始</x:v>
      </x:c>
      <x:c r="F132" s="7" t="str">
        <x:v>実装</x:v>
      </x:c>
      <x:c r="G132" s="7" t="str">
        <x:v>地域事例</x:v>
      </x:c>
      <x:c r="H132" s="7" t="str">
        <x:v>経済産業省</x:v>
      </x:c>
      <x:c r="I132" s="7" t="str">
        <x:v>沖縄県北谷町</x:v>
      </x:c>
      <x:c r="J132" s="7" t="str">
        <x:v>lastmile</x:v>
      </x:c>
      <x:c r="K132" s="18" t="str">
        <x:v>2021-03</x:v>
      </x:c>
      <x:c r="L132" s="7" t="str">
        <x:v>2021-03</x:v>
      </x:c>
      <x:c r="M132" s="18" t="n">
        <x:v>46326</x:v>
      </x:c>
      <x:c r="N132" s="7" t="str">
        <x:v>S056</x:v>
      </x:c>
      <x:c r="O132" s="7" t="str">
        <x:v>https://www.aist.go.jp/Portals/0/resource_images/aist_j/topics/to2021/to20210330/chatan_lastmile.pdf</x:v>
      </x:c>
      <x:c r="P132" s="7" t="str"/>
      <x:c r="Q132" s="7" t="str">
        <x:v>EV-ee0f9804688d</x:v>
      </x:c>
      <x:c r="R132" s="7" t="str">
        <x:v>meti_chatan</x:v>
      </x:c>
      <x:c r="S132" s="20" t="n">
        <x:v>2021</x:v>
      </x:c>
      <x:c r="T132" s="20" t="n">
        <x:v>3</x:v>
      </x:c>
      <x:c r="U132" s="7" t="str">
        <x:v>暦年・暦月</x:v>
      </x:c>
      <x:c r="V132" s="18" t="n">
        <x:v>44286</x:v>
      </x:c>
      <x:c r="W132" s="7" t="str">
        <x:v>SRC-a37d4e2ae5</x:v>
      </x:c>
      <x:c r="X132" s="7" t="str"/>
      <x:c r="Y132" s="20" t="n">
        <x:v>125</x:v>
      </x:c>
      <x:c r="Z132" s="7" t="str"/>
      <x:c r="AA132" s="7" t="str"/>
      <x:c r="AB132" s="7" t="str"/>
    </x:row>
    <x:row r="133" ht="30" customHeight="1">
      <x:c r="A133" s="7" t="str">
        <x:v>2021年度</x:v>
      </x:c>
      <x:c r="B133" s="7" t="str">
        <x:v>年度</x:v>
      </x:c>
      <x:c r="C133" s="7" t="str">
        <x:v>meti_iruma</x:v>
      </x:c>
      <x:c r="D133" s="7" t="str">
        <x:v>ASOVO 健康・移動支援</x:v>
      </x:c>
      <x:c r="E133" s="7" t="str">
        <x:v>SMC健康・移動実証</x:v>
      </x:c>
      <x:c r="F133" s="7" t="str">
        <x:v>実証</x:v>
      </x:c>
      <x:c r="G133" s="7" t="str">
        <x:v>地域事例</x:v>
      </x:c>
      <x:c r="H133" s="7" t="str">
        <x:v>経済産業省</x:v>
      </x:c>
      <x:c r="I133" s="7" t="str">
        <x:v>埼玉県入間市</x:v>
      </x:c>
      <x:c r="J133" s="7" t="str">
        <x:v>smc</x:v>
      </x:c>
      <x:c r="K133" s="18"/>
      <x:c r="L133" s="7" t="str"/>
      <x:c r="M133" s="18" t="n">
        <x:v>46326</x:v>
      </x:c>
      <x:c r="N133" s="7" t="str">
        <x:v>S281</x:v>
      </x:c>
      <x:c r="O133" s="7" t="str">
        <x:v>https://www.mobilitychallenge.go.jp/introduction/</x:v>
      </x:c>
      <x:c r="P133" s="7" t="str"/>
      <x:c r="Q133" s="7" t="str">
        <x:v>EV-09f2d7ba8fdb</x:v>
      </x:c>
      <x:c r="R133" s="7" t="str">
        <x:v>meti_iruma</x:v>
      </x:c>
      <x:c r="S133" s="20" t="n">
        <x:v>2021</x:v>
      </x:c>
      <x:c r="T133" s="20" t="n">
        <x:v>4</x:v>
      </x:c>
      <x:c r="U133" s="7" t="str">
        <x:v>年度・年度末</x:v>
      </x:c>
      <x:c r="V133" s="18"/>
      <x:c r="W133" s="7" t="str">
        <x:v>SRC-ac2f0f15e2</x:v>
      </x:c>
      <x:c r="X133" s="7" t="str"/>
      <x:c r="Y133" s="20" t="n">
        <x:v>126</x:v>
      </x:c>
      <x:c r="Z133" s="7" t="str"/>
      <x:c r="AA133" s="7" t="str"/>
      <x:c r="AB133" s="7" t="str"/>
    </x:row>
    <x:row r="134" ht="40.400001525878906" customHeight="1">
      <x:c r="A134" s="7" t="str">
        <x:v>2021年度</x:v>
      </x:c>
      <x:c r="B134" s="7" t="str">
        <x:v>年度</x:v>
      </x:c>
      <x:c r="C134" s="7" t="str">
        <x:v>roadl4</x:v>
      </x:c>
      <x:c r="D134" s="7" t="str">
        <x:v>RoAD to the L4</x:v>
      </x:c>
      <x:c r="E134" s="7" t="str">
        <x:v>経産省と国交省のRoAD to the L4が開始。2025年度まで旅客と高速トラックの実装 技術評価を進める。</x:v>
      </x:c>
      <x:c r="F134" s="7" t="str">
        <x:v>事業開始</x:v>
      </x:c>
      <x:c r="G134" s="7" t="str">
        <x:v>政策制度</x:v>
      </x:c>
      <x:c r="H134" s="7" t="str">
        <x:v>経済産業省</x:v>
      </x:c>
      <x:c r="I134" s="7" t="str"/>
      <x:c r="J134" s="7" t="str">
        <x:v>roadl4</x:v>
      </x:c>
      <x:c r="K134" s="18" t="n">
        <x:v>46086</x:v>
      </x:c>
      <x:c r="L134" s="7" t="str">
        <x:v>2026-03-05</x:v>
      </x:c>
      <x:c r="M134" s="18" t="n">
        <x:v>46326</x:v>
      </x:c>
      <x:c r="N134" s="7" t="str">
        <x:v>S308</x:v>
      </x:c>
      <x:c r="O134" s="7" t="str">
        <x:v>https://www.road-to-the-l4.go.jp/publication/pdf/02-1_RTL4_5y_20260305.pdf</x:v>
      </x:c>
      <x:c r="P134" s="7" t="str"/>
      <x:c r="Q134" s="7" t="str">
        <x:v>EV-157c173f508a</x:v>
      </x:c>
      <x:c r="R134" s="7" t="str">
        <x:v>integrated</x:v>
      </x:c>
      <x:c r="S134" s="20" t="n">
        <x:v>2021</x:v>
      </x:c>
      <x:c r="T134" s="20" t="n">
        <x:v>4</x:v>
      </x:c>
      <x:c r="U134" s="7" t="str">
        <x:v>年度・年度末</x:v>
      </x:c>
      <x:c r="V134" s="18"/>
      <x:c r="W134" s="7" t="str">
        <x:v>SRC-ea3cb3b795</x:v>
      </x:c>
      <x:c r="X134" s="7" t="str"/>
      <x:c r="Y134" s="20" t="n">
        <x:v>127</x:v>
      </x:c>
      <x:c r="Z134" s="7" t="str"/>
      <x:c r="AA134" s="7" t="str"/>
      <x:c r="AB134" s="7" t="str"/>
    </x:row>
    <x:row r="135" ht="40.400001525878906" customHeight="1">
      <x:c r="A135" s="7" t="str">
        <x:v>2021年度</x:v>
      </x:c>
      <x:c r="B135" s="7" t="str">
        <x:v>年度</x:v>
      </x:c>
      <x:c r="C135" s="7" t="str">
        <x:v>meti_mie6</x:v>
      </x:c>
      <x:c r="D135" s="7" t="str">
        <x:v>三重6町 医療MaaS</x:v>
      </x:c>
      <x:c r="E135" s="7" t="str">
        <x:v>医療を含む多機能サービス実証</x:v>
      </x:c>
      <x:c r="F135" s="7" t="str">
        <x:v>実証</x:v>
      </x:c>
      <x:c r="G135" s="7" t="str">
        <x:v>地域事例</x:v>
      </x:c>
      <x:c r="H135" s="7" t="str">
        <x:v>経済産業省</x:v>
      </x:c>
      <x:c r="I135" s="7" t="str">
        <x:v>三重県多気・大台・明和・度会・大紀・紀北町</x:v>
      </x:c>
      <x:c r="J135" s="7" t="str">
        <x:v>smc</x:v>
      </x:c>
      <x:c r="K135" s="18"/>
      <x:c r="L135" s="7" t="str"/>
      <x:c r="M135" s="18" t="n">
        <x:v>46326</x:v>
      </x:c>
      <x:c r="N135" s="7" t="str">
        <x:v>S281</x:v>
      </x:c>
      <x:c r="O135" s="7" t="str">
        <x:v>https://www.mobilitychallenge.go.jp/introduction/</x:v>
      </x:c>
      <x:c r="P135" s="7" t="str"/>
      <x:c r="Q135" s="7" t="str">
        <x:v>EV-1ede1e08f705</x:v>
      </x:c>
      <x:c r="R135" s="7" t="str">
        <x:v>meti_mie6</x:v>
      </x:c>
      <x:c r="S135" s="20" t="n">
        <x:v>2021</x:v>
      </x:c>
      <x:c r="T135" s="20" t="n">
        <x:v>4</x:v>
      </x:c>
      <x:c r="U135" s="7" t="str">
        <x:v>年度・年度末</x:v>
      </x:c>
      <x:c r="V135" s="18"/>
      <x:c r="W135" s="7" t="str">
        <x:v>SRC-ac2f0f15e2</x:v>
      </x:c>
      <x:c r="X135" s="7" t="str"/>
      <x:c r="Y135" s="20" t="n">
        <x:v>128</x:v>
      </x:c>
      <x:c r="Z135" s="7" t="str"/>
      <x:c r="AA135" s="7" t="str"/>
      <x:c r="AB135" s="7" t="str"/>
    </x:row>
    <x:row r="136" ht="40.400001525878906" customHeight="1">
      <x:c r="A136" s="7" t="str">
        <x:v>2021年度</x:v>
      </x:c>
      <x:c r="B136" s="7" t="str">
        <x:v>年度</x:v>
      </x:c>
      <x:c r="C136" s="7" t="str">
        <x:v>meti_kashiwa</x:v>
      </x:c>
      <x:c r="D136" s="7" t="str">
        <x:v>柏の葉 L4路車協調</x:v>
      </x:c>
      <x:c r="E136" s="7" t="str">
        <x:v>テーマ4開発開始</x:v>
      </x:c>
      <x:c r="F136" s="7" t="str">
        <x:v>開発</x:v>
      </x:c>
      <x:c r="G136" s="7" t="str">
        <x:v>地域事例</x:v>
      </x:c>
      <x:c r="H136" s="7" t="str">
        <x:v>経済産業省</x:v>
      </x:c>
      <x:c r="I136" s="7" t="str">
        <x:v>千葉県柏市</x:v>
      </x:c>
      <x:c r="J136" s="7" t="str">
        <x:v>roadl4</x:v>
      </x:c>
      <x:c r="K136" s="18" t="n">
        <x:v>46086</x:v>
      </x:c>
      <x:c r="L136" s="7" t="str">
        <x:v>2026-03-05</x:v>
      </x:c>
      <x:c r="M136" s="18" t="n">
        <x:v>46326</x:v>
      </x:c>
      <x:c r="N136" s="7" t="str">
        <x:v>S308</x:v>
      </x:c>
      <x:c r="O136" s="7" t="str">
        <x:v>https://www.road-to-the-l4.go.jp/publication/pdf/02-1_RTL4_5y_20260305.pdf</x:v>
      </x:c>
      <x:c r="P136" s="7" t="str"/>
      <x:c r="Q136" s="7" t="str">
        <x:v>EV-455737134c5e</x:v>
      </x:c>
      <x:c r="R136" s="7" t="str">
        <x:v>meti_kashiwa</x:v>
      </x:c>
      <x:c r="S136" s="20" t="n">
        <x:v>2021</x:v>
      </x:c>
      <x:c r="T136" s="20" t="n">
        <x:v>4</x:v>
      </x:c>
      <x:c r="U136" s="7" t="str">
        <x:v>年度・年度末</x:v>
      </x:c>
      <x:c r="V136" s="18"/>
      <x:c r="W136" s="7" t="str">
        <x:v>SRC-ea3cb3b795</x:v>
      </x:c>
      <x:c r="X136" s="7" t="str"/>
      <x:c r="Y136" s="20" t="n">
        <x:v>129</x:v>
      </x:c>
      <x:c r="Z136" s="7" t="str"/>
      <x:c r="AA136" s="7" t="str"/>
      <x:c r="AB136" s="7" t="str"/>
    </x:row>
    <x:row r="137" ht="40.400001525878906" customHeight="1">
      <x:c r="A137" s="7" t="str">
        <x:v>2021年度</x:v>
      </x:c>
      <x:c r="B137" s="7" t="str">
        <x:v>年度</x:v>
      </x:c>
      <x:c r="C137" s="7" t="str">
        <x:v>ENV-C14</x:v>
      </x:c>
      <x:c r="D137" s="7" t="str">
        <x:v>しかおい水素ファーム</x:v>
      </x:c>
      <x:c r="E137" s="7" t="str">
        <x:v>環境省実証終了</x:v>
      </x:c>
      <x:c r="F137" s="7" t="str">
        <x:v>実証終了</x:v>
      </x:c>
      <x:c r="G137" s="7" t="str">
        <x:v>地域事例</x:v>
      </x:c>
      <x:c r="H137" s="7" t="str">
        <x:v>環境省</x:v>
      </x:c>
      <x:c r="I137" s="7" t="str">
        <x:v>北海道鹿追町・帯広等</x:v>
      </x:c>
      <x:c r="J137" s="7" t="str">
        <x:v>ENV-P10</x:v>
      </x:c>
      <x:c r="K137" s="18"/>
      <x:c r="L137" s="7" t="str"/>
      <x:c r="M137" s="18" t="n">
        <x:v>46326</x:v>
      </x:c>
      <x:c r="N137" s="7" t="str">
        <x:v>S170</x:v>
      </x:c>
      <x:c r="O137" s="7" t="str">
        <x:v>https://www.env.go.jp/seisaku/list/ondanka_saisei/lowcarbon-h2-sc/company/PDF/demonstration_02.pdf</x:v>
      </x:c>
      <x:c r="P137" s="7" t="str"/>
      <x:c r="Q137" s="7" t="str">
        <x:v>EV-55c7433dc2e3</x:v>
      </x:c>
      <x:c r="R137" s="7" t="str">
        <x:v>ENV-C14</x:v>
      </x:c>
      <x:c r="S137" s="20" t="n">
        <x:v>2021</x:v>
      </x:c>
      <x:c r="T137" s="20" t="n">
        <x:v>4</x:v>
      </x:c>
      <x:c r="U137" s="7" t="str">
        <x:v>年度・年度末</x:v>
      </x:c>
      <x:c r="V137" s="18"/>
      <x:c r="W137" s="7" t="str">
        <x:v>SRC-8dbda88238</x:v>
      </x:c>
      <x:c r="X137" s="7" t="str"/>
      <x:c r="Y137" s="20" t="n">
        <x:v>130</x:v>
      </x:c>
      <x:c r="Z137" s="7" t="str"/>
      <x:c r="AA137" s="7" t="str"/>
      <x:c r="AB137" s="7" t="str"/>
    </x:row>
    <x:row r="138" ht="40.400001525878906" customHeight="1">
      <x:c r="A138" s="7" t="str">
        <x:v>2021年度</x:v>
      </x:c>
      <x:c r="B138" s="7" t="str">
        <x:v>年度</x:v>
      </x:c>
      <x:c r="C138" s="7" t="str">
        <x:v>ENV-C15</x:v>
      </x:c>
      <x:c r="D138" s="7" t="str">
        <x:v>周南・下関の副生水素モビリティ</x:v>
      </x:c>
      <x:c r="E138" s="7" t="str">
        <x:v>事業終了</x:v>
      </x:c>
      <x:c r="F138" s="7" t="str">
        <x:v>終了評価</x:v>
      </x:c>
      <x:c r="G138" s="7" t="str">
        <x:v>地域事例</x:v>
      </x:c>
      <x:c r="H138" s="7" t="str">
        <x:v>環境省</x:v>
      </x:c>
      <x:c r="I138" s="7" t="str">
        <x:v>山口県周南市・下関市</x:v>
      </x:c>
      <x:c r="J138" s="7" t="str">
        <x:v>ENV-P10</x:v>
      </x:c>
      <x:c r="K138" s="18"/>
      <x:c r="L138" s="7" t="str"/>
      <x:c r="M138" s="18" t="n">
        <x:v>46326</x:v>
      </x:c>
      <x:c r="N138" s="7" t="str">
        <x:v>S171</x:v>
      </x:c>
      <x:c r="O138" s="7" t="str">
        <x:v>https://www.env.go.jp/seisaku/list/ondanka_saisei/lowcarbon-h2-sc/company/PDF/demonstration_03.pdf</x:v>
      </x:c>
      <x:c r="P138" s="7" t="str"/>
      <x:c r="Q138" s="7" t="str">
        <x:v>EV-6292a30f3fff</x:v>
      </x:c>
      <x:c r="R138" s="7" t="str">
        <x:v>ENV-C15</x:v>
      </x:c>
      <x:c r="S138" s="20" t="n">
        <x:v>2021</x:v>
      </x:c>
      <x:c r="T138" s="20" t="n">
        <x:v>4</x:v>
      </x:c>
      <x:c r="U138" s="7" t="str">
        <x:v>年度・年度末</x:v>
      </x:c>
      <x:c r="V138" s="18"/>
      <x:c r="W138" s="7" t="str">
        <x:v>SRC-75cbe03af4</x:v>
      </x:c>
      <x:c r="X138" s="7" t="str"/>
      <x:c r="Y138" s="20" t="n">
        <x:v>131</x:v>
      </x:c>
      <x:c r="Z138" s="7" t="str"/>
      <x:c r="AA138" s="7" t="str"/>
      <x:c r="AB138" s="7" t="str"/>
    </x:row>
    <x:row r="139" ht="30" customHeight="1">
      <x:c r="A139" s="7" t="str">
        <x:v>2021年度</x:v>
      </x:c>
      <x:c r="B139" s="7" t="str">
        <x:v>年度</x:v>
      </x:c>
      <x:c r="C139" s="7" t="str">
        <x:v>meti_kasugai</x:v>
      </x:c>
      <x:c r="D139" s="7" t="str">
        <x:v>石尾台おでかけサービス</x:v>
      </x:c>
      <x:c r="E139" s="7" t="str">
        <x:v>SMCで貨客連携等の実証対象</x:v>
      </x:c>
      <x:c r="F139" s="7" t="str">
        <x:v>実証</x:v>
      </x:c>
      <x:c r="G139" s="7" t="str">
        <x:v>地域事例</x:v>
      </x:c>
      <x:c r="H139" s="7" t="str">
        <x:v>経済産業省</x:v>
      </x:c>
      <x:c r="I139" s="7" t="str">
        <x:v>愛知県春日井市</x:v>
      </x:c>
      <x:c r="J139" s="7" t="str">
        <x:v>smc</x:v>
      </x:c>
      <x:c r="K139" s="18"/>
      <x:c r="L139" s="7" t="str"/>
      <x:c r="M139" s="18" t="n">
        <x:v>46326</x:v>
      </x:c>
      <x:c r="N139" s="7" t="str">
        <x:v>S281</x:v>
      </x:c>
      <x:c r="O139" s="7" t="str">
        <x:v>https://www.mobilitychallenge.go.jp/introduction/</x:v>
      </x:c>
      <x:c r="P139" s="7" t="str"/>
      <x:c r="Q139" s="7" t="str">
        <x:v>EV-75828c7527fb</x:v>
      </x:c>
      <x:c r="R139" s="7" t="str">
        <x:v>meti_kasugai</x:v>
      </x:c>
      <x:c r="S139" s="20" t="n">
        <x:v>2021</x:v>
      </x:c>
      <x:c r="T139" s="20" t="n">
        <x:v>4</x:v>
      </x:c>
      <x:c r="U139" s="7" t="str">
        <x:v>年度・年度末</x:v>
      </x:c>
      <x:c r="V139" s="18"/>
      <x:c r="W139" s="7" t="str">
        <x:v>SRC-ac2f0f15e2</x:v>
      </x:c>
      <x:c r="X139" s="7" t="str"/>
      <x:c r="Y139" s="20" t="n">
        <x:v>132</x:v>
      </x:c>
      <x:c r="Z139" s="7" t="str"/>
      <x:c r="AA139" s="7" t="str"/>
      <x:c r="AB139" s="7" t="str"/>
    </x:row>
    <x:row r="140" ht="30" customHeight="1">
      <x:c r="A140" s="7" t="str">
        <x:v>2021年4月</x:v>
      </x:c>
      <x:c r="B140" s="7" t="str">
        <x:v>月</x:v>
      </x:c>
      <x:c r="C140" s="7" t="str">
        <x:v>V-C06</x:v>
      </x:c>
      <x:c r="D140" s="7" t="str">
        <x:v>チョイソコとよあけ</x:v>
      </x:c>
      <x:c r="E140" s="7" t="str">
        <x:v>道路運送法許可取得による本格運行</x:v>
      </x:c>
      <x:c r="F140" s="7" t="str">
        <x:v>本格運行</x:v>
      </x:c>
      <x:c r="G140" s="7" t="str">
        <x:v>地域事例</x:v>
      </x:c>
      <x:c r="H140" s="7" t="str">
        <x:v>横断検証（個別所管は資料参照）</x:v>
      </x:c>
      <x:c r="I140" s="7" t="str">
        <x:v>愛知県豊明市</x:v>
      </x:c>
      <x:c r="J140" s="7" t="str"/>
      <x:c r="K140" s="18"/>
      <x:c r="L140" s="7" t="str"/>
      <x:c r="M140" s="18" t="n">
        <x:v>46326</x:v>
      </x:c>
      <x:c r="N140" s="7" t="str">
        <x:v>S118</x:v>
      </x:c>
      <x:c r="O140" s="7" t="str">
        <x:v>https://www.city.toyoake.lg.jp/6461.htm</x:v>
      </x:c>
      <x:c r="P140" s="7" t="str"/>
      <x:c r="Q140" s="7" t="str">
        <x:v>EV-7d294fed4c88</x:v>
      </x:c>
      <x:c r="R140" s="7" t="str">
        <x:v>V-C06</x:v>
      </x:c>
      <x:c r="S140" s="20" t="n">
        <x:v>2021</x:v>
      </x:c>
      <x:c r="T140" s="20" t="n">
        <x:v>4</x:v>
      </x:c>
      <x:c r="U140" s="7" t="str">
        <x:v>暦年・暦月</x:v>
      </x:c>
      <x:c r="V140" s="18"/>
      <x:c r="W140" s="7" t="str">
        <x:v>SRC-8276e606e9</x:v>
      </x:c>
      <x:c r="X140" s="7" t="str"/>
      <x:c r="Y140" s="20" t="n">
        <x:v>133</x:v>
      </x:c>
      <x:c r="Z140" s="7" t="str"/>
      <x:c r="AA140" s="7" t="str"/>
      <x:c r="AB140" s="7" t="str"/>
    </x:row>
    <x:row r="141" ht="40.400001525878906" customHeight="1">
      <x:c r="A141" s="7" t="str">
        <x:v>2021年4月</x:v>
      </x:c>
      <x:c r="B141" s="7" t="str">
        <x:v>月</x:v>
      </x:c>
      <x:c r="C141" s="7" t="str">
        <x:v>mlit_conpas</x:v>
      </x:c>
      <x:c r="D141" s="7" t="str">
        <x:v>横浜港CONPAS</x:v>
      </x:c>
      <x:c r="E141" s="7" t="str">
        <x:v>南本牧本格運用開始</x:v>
      </x:c>
      <x:c r="F141" s="7" t="str">
        <x:v>実装</x:v>
      </x:c>
      <x:c r="G141" s="7" t="str">
        <x:v>地域事例</x:v>
      </x:c>
      <x:c r="H141" s="7" t="str">
        <x:v>国土交通省港湾局・関東地方整備局
国土交通省</x:v>
      </x:c>
      <x:c r="I141" s="7" t="str">
        <x:v>神奈川県横浜港南本牧・本牧</x:v>
      </x:c>
      <x:c r="J141" s="7" t="str">
        <x:v>portdx</x:v>
      </x:c>
      <x:c r="K141" s="18" t="str">
        <x:v>2022-01</x:v>
      </x:c>
      <x:c r="L141" s="7" t="str">
        <x:v>2022-01</x:v>
      </x:c>
      <x:c r="M141" s="18" t="n">
        <x:v>46326</x:v>
      </x:c>
      <x:c r="N141" s="7" t="str">
        <x:v>S231</x:v>
      </x:c>
      <x:c r="O141" s="7" t="str">
        <x:v>https://www.mlit.go.jp/kowan/content/001499199.pdf</x:v>
      </x:c>
      <x:c r="P141" s="7" t="str"/>
      <x:c r="Q141" s="7" t="str">
        <x:v>EV-84f98bdf658e</x:v>
      </x:c>
      <x:c r="R141" s="7" t="str">
        <x:v>mlit_conpas</x:v>
      </x:c>
      <x:c r="S141" s="20" t="n">
        <x:v>2021</x:v>
      </x:c>
      <x:c r="T141" s="20" t="n">
        <x:v>4</x:v>
      </x:c>
      <x:c r="U141" s="7" t="str">
        <x:v>暦年・暦月</x:v>
      </x:c>
      <x:c r="V141" s="18"/>
      <x:c r="W141" s="7" t="str">
        <x:v>SRC-9f9e8dec7d</x:v>
      </x:c>
      <x:c r="X141" s="7" t="str"/>
      <x:c r="Y141" s="20" t="n">
        <x:v>134</x:v>
      </x:c>
      <x:c r="Z141" s="7" t="str"/>
      <x:c r="AA141" s="7" t="str"/>
      <x:c r="AB141" s="7" t="str"/>
    </x:row>
    <x:row r="142" ht="40.400001525878906" customHeight="1">
      <x:c r="A142" s="7" t="str">
        <x:v>2021年4月1日</x:v>
      </x:c>
      <x:c r="B142" s="7" t="str">
        <x:v>日</x:v>
      </x:c>
      <x:c r="C142" s="7" t="str">
        <x:v>ENV-C04</x:v>
      </x:c>
      <x:c r="D142" s="7" t="str">
        <x:v>石見銀山ぎんざんカート</x:v>
      </x:c>
      <x:c r="E142" s="7" t="str">
        <x:v>有償運行開始</x:v>
      </x:c>
      <x:c r="F142" s="7" t="str">
        <x:v>有償化</x:v>
      </x:c>
      <x:c r="G142" s="7" t="str">
        <x:v>地域事例</x:v>
      </x:c>
      <x:c r="H142" s="7" t="str">
        <x:v>環境省</x:v>
      </x:c>
      <x:c r="I142" s="7" t="str">
        <x:v>島根県大田市</x:v>
      </x:c>
      <x:c r="J142" s="7" t="str">
        <x:v>ENV-P02</x:v>
      </x:c>
      <x:c r="K142" s="18" t="str">
        <x:v>2021-05</x:v>
      </x:c>
      <x:c r="L142" s="7" t="str">
        <x:v>2021-05</x:v>
      </x:c>
      <x:c r="M142" s="18" t="n">
        <x:v>46326</x:v>
      </x:c>
      <x:c r="N142" s="7" t="str">
        <x:v>S095</x:v>
      </x:c>
      <x:c r="O142" s="7" t="str">
        <x:v>https://www.city.oda.lg.jp/files/original/2021042211214575288dbeee7.pdf</x:v>
      </x:c>
      <x:c r="P142" s="7" t="str"/>
      <x:c r="Q142" s="7" t="str">
        <x:v>EV-8519449b804c</x:v>
      </x:c>
      <x:c r="R142" s="7" t="str">
        <x:v>ENV-C04</x:v>
      </x:c>
      <x:c r="S142" s="20" t="n">
        <x:v>2021</x:v>
      </x:c>
      <x:c r="T142" s="20" t="n">
        <x:v>4</x:v>
      </x:c>
      <x:c r="U142" s="7" t="str">
        <x:v>暦年・暦月</x:v>
      </x:c>
      <x:c r="V142" s="18" t="n">
        <x:v>44287</x:v>
      </x:c>
      <x:c r="W142" s="7" t="str">
        <x:v>SRC-4f1e2a8991</x:v>
      </x:c>
      <x:c r="X142" s="7" t="str"/>
      <x:c r="Y142" s="20" t="n">
        <x:v>135</x:v>
      </x:c>
      <x:c r="Z142" s="7" t="str"/>
      <x:c r="AA142" s="7" t="str"/>
      <x:c r="AB142" s="7" t="str"/>
    </x:row>
    <x:row r="143" ht="30" customHeight="1">
      <x:c r="A143" s="7" t="str">
        <x:v>2021年度</x:v>
      </x:c>
      <x:c r="B143" s="7" t="str">
        <x:v>年度</x:v>
      </x:c>
      <x:c r="C143" s="7" t="str">
        <x:v>V-C05</x:v>
      </x:c>
      <x:c r="D143" s="7" t="str">
        <x:v>のるーと塩尻</x:v>
      </x:c>
      <x:c r="E143" s="7" t="str">
        <x:v>同エリアで有償テスト</x:v>
      </x:c>
      <x:c r="F143" s="7" t="str">
        <x:v>有償実証</x:v>
      </x:c>
      <x:c r="G143" s="7" t="str">
        <x:v>地域事例</x:v>
      </x:c>
      <x:c r="H143" s="7" t="str">
        <x:v>横断検証（個別所管は資料参照）</x:v>
      </x:c>
      <x:c r="I143" s="7" t="str">
        <x:v>長野県塩尻市</x:v>
      </x:c>
      <x:c r="J143" s="7" t="str"/>
      <x:c r="K143" s="18"/>
      <x:c r="L143" s="7" t="str"/>
      <x:c r="M143" s="18" t="n">
        <x:v>46326</x:v>
      </x:c>
      <x:c r="N143" s="7" t="str">
        <x:v>S107</x:v>
      </x:c>
      <x:c r="O143" s="7" t="str">
        <x:v>https://www.city.shiojiri.lg.jp/soshiki/8/21176.html</x:v>
      </x:c>
      <x:c r="P143" s="7" t="str"/>
      <x:c r="Q143" s="7" t="str">
        <x:v>EV-91f1dbb22d6f</x:v>
      </x:c>
      <x:c r="R143" s="7" t="str">
        <x:v>V-C05</x:v>
      </x:c>
      <x:c r="S143" s="20" t="n">
        <x:v>2021</x:v>
      </x:c>
      <x:c r="T143" s="20" t="n">
        <x:v>4</x:v>
      </x:c>
      <x:c r="U143" s="7" t="str">
        <x:v>年度・年度末</x:v>
      </x:c>
      <x:c r="V143" s="18"/>
      <x:c r="W143" s="7" t="str">
        <x:v>SRC-115881087c</x:v>
      </x:c>
      <x:c r="X143" s="7" t="str"/>
      <x:c r="Y143" s="20" t="n">
        <x:v>136</x:v>
      </x:c>
      <x:c r="Z143" s="7" t="str"/>
      <x:c r="AA143" s="7" t="str"/>
      <x:c r="AB143" s="7" t="str"/>
    </x:row>
    <x:row r="144" ht="97.19999694824219" customHeight="1">
      <x:c r="A144" s="7" t="str">
        <x:v>2021年度</x:v>
      </x:c>
      <x:c r="B144" s="7" t="str">
        <x:v>年度</x:v>
      </x:c>
      <x:c r="C144" s="7" t="str">
        <x:v>DIG-C13</x:v>
      </x:c>
      <x:c r="D144" s="7" t="str">
        <x:v>先端技術を活用したモビリティ社会実現プロジェクト</x:v>
      </x:c>
      <x:c r="E144" s="7" t="str">
        <x:v>R3–R7事業計画の開始年度。</x:v>
      </x:c>
      <x:c r="F144" s="7" t="str">
        <x:v>計画開始</x:v>
      </x:c>
      <x:c r="G144" s="7" t="str">
        <x:v>地域事例</x:v>
      </x:c>
      <x:c r="H144" s="7" t="str">
        <x:v>内閣官房・内閣府地方創生
デジタル庁（基盤・実装支援）
地方自治体
内閣府地方創生
関係府省
内閣府・総務省・デジタル庁等</x:v>
      </x:c>
      <x:c r="I144" s="7" t="str">
        <x:v>愛知県</x:v>
      </x:c>
      <x:c r="J144" s="7" t="str">
        <x:v>DIG-P12
DIG-P05</x:v>
      </x:c>
      <x:c r="K144" s="18" t="str">
        <x:v>2025</x:v>
      </x:c>
      <x:c r="L144" s="7" t="str">
        <x:v>2025</x:v>
      </x:c>
      <x:c r="M144" s="18" t="n">
        <x:v>46326</x:v>
      </x:c>
      <x:c r="N144" s="7" t="str">
        <x:v>S302</x:v>
      </x:c>
      <x:c r="O144" s="7" t="str">
        <x:v>https://www.pref.aichi.jp/uploaded/attachment/542336.pdf</x:v>
      </x:c>
      <x:c r="P144" s="7" t="str"/>
      <x:c r="Q144" s="7" t="str">
        <x:v>EV-9802b6b2a9f6</x:v>
      </x:c>
      <x:c r="R144" s="7" t="str">
        <x:v>DIG-C13</x:v>
      </x:c>
      <x:c r="S144" s="20" t="n">
        <x:v>2021</x:v>
      </x:c>
      <x:c r="T144" s="20" t="n">
        <x:v>4</x:v>
      </x:c>
      <x:c r="U144" s="7" t="str">
        <x:v>年度・年度末</x:v>
      </x:c>
      <x:c r="V144" s="18"/>
      <x:c r="W144" s="7" t="str">
        <x:v>SRC-1e17f2bc65</x:v>
      </x:c>
      <x:c r="X144" s="7" t="str"/>
      <x:c r="Y144" s="20" t="n">
        <x:v>137</x:v>
      </x:c>
      <x:c r="Z144" s="7" t="str"/>
      <x:c r="AA144" s="7" t="str"/>
      <x:c r="AB144" s="7" t="str"/>
    </x:row>
    <x:row r="145" ht="30" customHeight="1">
      <x:c r="A145" s="7" t="str">
        <x:v>2021年度</x:v>
      </x:c>
      <x:c r="B145" s="7" t="str">
        <x:v>年度</x:v>
      </x:c>
      <x:c r="C145" s="7" t="str">
        <x:v>meti_mitoyo</x:v>
      </x:c>
      <x:c r="D145" s="7" t="str">
        <x:v>ゴイッショみとよ共同送迎</x:v>
      </x:c>
      <x:c r="E145" s="7" t="str">
        <x:v>地域新MaaS採択、共同送迎モデル検討</x:v>
      </x:c>
      <x:c r="F145" s="7" t="str">
        <x:v>実証</x:v>
      </x:c>
      <x:c r="G145" s="7" t="str">
        <x:v>地域事例</x:v>
      </x:c>
      <x:c r="H145" s="7" t="str">
        <x:v>経済産業省</x:v>
      </x:c>
      <x:c r="I145" s="7" t="str">
        <x:v>香川県三豊市</x:v>
      </x:c>
      <x:c r="J145" s="7" t="str">
        <x:v>smc</x:v>
      </x:c>
      <x:c r="K145" s="18"/>
      <x:c r="L145" s="7" t="str"/>
      <x:c r="M145" s="18" t="n">
        <x:v>46326</x:v>
      </x:c>
      <x:c r="N145" s="7" t="str">
        <x:v>S281</x:v>
      </x:c>
      <x:c r="O145" s="7" t="str">
        <x:v>https://www.mobilitychallenge.go.jp/introduction/</x:v>
      </x:c>
      <x:c r="P145" s="7" t="str"/>
      <x:c r="Q145" s="7" t="str">
        <x:v>EV-a2b478c40f7d</x:v>
      </x:c>
      <x:c r="R145" s="7" t="str">
        <x:v>meti_mitoyo</x:v>
      </x:c>
      <x:c r="S145" s="20" t="n">
        <x:v>2021</x:v>
      </x:c>
      <x:c r="T145" s="20" t="n">
        <x:v>4</x:v>
      </x:c>
      <x:c r="U145" s="7" t="str">
        <x:v>年度・年度末</x:v>
      </x:c>
      <x:c r="V145" s="18"/>
      <x:c r="W145" s="7" t="str">
        <x:v>SRC-ac2f0f15e2</x:v>
      </x:c>
      <x:c r="X145" s="7" t="str"/>
      <x:c r="Y145" s="20" t="n">
        <x:v>138</x:v>
      </x:c>
      <x:c r="Z145" s="7" t="str"/>
      <x:c r="AA145" s="7" t="str"/>
      <x:c r="AB145" s="7" t="str"/>
    </x:row>
    <x:row r="146" ht="54.599998474121094" customHeight="1">
      <x:c r="A146" s="7" t="str">
        <x:v>2021年度補正</x:v>
      </x:c>
      <x:c r="B146" s="7" t="str">
        <x:v>年度</x:v>
      </x:c>
      <x:c r="C146" s="7" t="str">
        <x:v>DIG-P12</x:v>
      </x:c>
      <x:c r="D146" s="7" t="str">
        <x:v>デジタル田園都市国家構想と地方創生交付金の系列</x:v>
      </x:c>
      <x:c r="E146" s="7" t="str">
        <x:v>デジタル田園都市国家構想推進交付金を創設（当初200億円）。</x:v>
      </x:c>
      <x:c r="F146" s="7" t="str">
        <x:v>交付金創設</x:v>
      </x:c>
      <x:c r="G146" s="7" t="str">
        <x:v>政策制度</x:v>
      </x:c>
      <x:c r="H146" s="7" t="str">
        <x:v>内閣官房・内閣府地方創生
デジタル庁（基盤・実装支援）
地方自治体</x:v>
      </x:c>
      <x:c r="I146" s="7" t="str"/>
      <x:c r="J146" s="7" t="str">
        <x:v>DIG-P12</x:v>
      </x:c>
      <x:c r="K146" s="18" t="n">
        <x:v>44638</x:v>
      </x:c>
      <x:c r="L146" s="7" t="str">
        <x:v>2022-03-18</x:v>
      </x:c>
      <x:c r="M146" s="18" t="n">
        <x:v>46326</x:v>
      </x:c>
      <x:c r="N146" s="7" t="str">
        <x:v>S061</x:v>
      </x:c>
      <x:c r="O146" s="7" t="str">
        <x:v>https://www.cao.go.jp/minister/2111_s_noda/kaiken/20220318kaiken.html</x:v>
      </x:c>
      <x:c r="P146" s="7" t="str"/>
      <x:c r="Q146" s="7" t="str">
        <x:v>EV-bb0907cd14df</x:v>
      </x:c>
      <x:c r="R146" s="7" t="str">
        <x:v>DIG-P12</x:v>
      </x:c>
      <x:c r="S146" s="20" t="n">
        <x:v>2021</x:v>
      </x:c>
      <x:c r="T146" s="20" t="n">
        <x:v>4</x:v>
      </x:c>
      <x:c r="U146" s="7" t="str">
        <x:v>年度・年度末</x:v>
      </x:c>
      <x:c r="V146" s="18"/>
      <x:c r="W146" s="7" t="str">
        <x:v>SRC-789ae32241</x:v>
      </x:c>
      <x:c r="X146" s="7" t="str"/>
      <x:c r="Y146" s="20" t="n">
        <x:v>139</x:v>
      </x:c>
      <x:c r="Z146" s="7" t="str"/>
      <x:c r="AA146" s="7" t="str"/>
      <x:c r="AB146" s="7" t="str"/>
    </x:row>
    <x:row r="147" ht="30" customHeight="1">
      <x:c r="A147" s="7" t="str">
        <x:v>2021年度</x:v>
      </x:c>
      <x:c r="B147" s="7" t="str">
        <x:v>年度</x:v>
      </x:c>
      <x:c r="C147" s="7" t="str">
        <x:v>ENV-C10</x:v>
      </x:c>
      <x:c r="D147" s="7" t="str">
        <x:v>山間地域EVスクールバス・学校太陽光連携</x:v>
      </x:c>
      <x:c r="E147" s="7" t="str">
        <x:v>環境省委託評価開始</x:v>
      </x:c>
      <x:c r="F147" s="7" t="str">
        <x:v>採択・準備</x:v>
      </x:c>
      <x:c r="G147" s="7" t="str">
        <x:v>地域事例</x:v>
      </x:c>
      <x:c r="H147" s="7" t="str">
        <x:v>環境省</x:v>
      </x:c>
      <x:c r="I147" s="7" t="str">
        <x:v>熊本県球磨村</x:v>
      </x:c>
      <x:c r="J147" s="7" t="str"/>
      <x:c r="K147" s="18"/>
      <x:c r="L147" s="7" t="str">
        <x:v>2024年（2021～2023年度成果）</x:v>
      </x:c>
      <x:c r="M147" s="18" t="n">
        <x:v>46326</x:v>
      </x:c>
      <x:c r="N147" s="7" t="str">
        <x:v>S147</x:v>
      </x:c>
      <x:c r="O147" s="7" t="str">
        <x:v>https://www.env.go.jp/content/000254037.pdf</x:v>
      </x:c>
      <x:c r="P147" s="7" t="str"/>
      <x:c r="Q147" s="7" t="str">
        <x:v>EV-ec1be61caa7b</x:v>
      </x:c>
      <x:c r="R147" s="7" t="str">
        <x:v>ENV-C10</x:v>
      </x:c>
      <x:c r="S147" s="20" t="n">
        <x:v>2021</x:v>
      </x:c>
      <x:c r="T147" s="20" t="n">
        <x:v>4</x:v>
      </x:c>
      <x:c r="U147" s="7" t="str">
        <x:v>年度・年度末</x:v>
      </x:c>
      <x:c r="V147" s="18"/>
      <x:c r="W147" s="7" t="str">
        <x:v>SRC-d1c42a88c8</x:v>
      </x:c>
      <x:c r="X147" s="7" t="str"/>
      <x:c r="Y147" s="20" t="n">
        <x:v>140</x:v>
      </x:c>
      <x:c r="Z147" s="7" t="str"/>
      <x:c r="AA147" s="7" t="str"/>
      <x:c r="AB147" s="7" t="str"/>
    </x:row>
    <x:row r="148" ht="30" customHeight="1">
      <x:c r="A148" s="7" t="str">
        <x:v>2021年度</x:v>
      </x:c>
      <x:c r="B148" s="7" t="str">
        <x:v>年度</x:v>
      </x:c>
      <x:c r="C148" s="7" t="str">
        <x:v>ENV-C02</x:v>
      </x:c>
      <x:c r="D148" s="7" t="str">
        <x:v>いわき・トイボ</x:v>
      </x:c>
      <x:c r="E148" s="7" t="str">
        <x:v>IoT実証事例として成果整理</x:v>
      </x:c>
      <x:c r="F148" s="7" t="str">
        <x:v>評価</x:v>
      </x:c>
      <x:c r="G148" s="7" t="str">
        <x:v>地域事例</x:v>
      </x:c>
      <x:c r="H148" s="7" t="str">
        <x:v>環境省</x:v>
      </x:c>
      <x:c r="I148" s="7" t="str">
        <x:v>福島県いわき市</x:v>
      </x:c>
      <x:c r="J148" s="7" t="str">
        <x:v>ENV-P02</x:v>
      </x:c>
      <x:c r="K148" s="18"/>
      <x:c r="L148" s="7" t="str"/>
      <x:c r="M148" s="18" t="n">
        <x:v>46326</x:v>
      </x:c>
      <x:c r="N148" s="7" t="str">
        <x:v>S146</x:v>
      </x:c>
      <x:c r="O148" s="7" t="str">
        <x:v>https://www.env.go.jp/content/000126068.pdf</x:v>
      </x:c>
      <x:c r="P148" s="7" t="str"/>
      <x:c r="Q148" s="7" t="str">
        <x:v>EV-fb56b1f69724</x:v>
      </x:c>
      <x:c r="R148" s="7" t="str">
        <x:v>ENV-C02</x:v>
      </x:c>
      <x:c r="S148" s="20" t="n">
        <x:v>2021</x:v>
      </x:c>
      <x:c r="T148" s="20" t="n">
        <x:v>4</x:v>
      </x:c>
      <x:c r="U148" s="7" t="str">
        <x:v>年度・年度末</x:v>
      </x:c>
      <x:c r="V148" s="18"/>
      <x:c r="W148" s="7" t="str">
        <x:v>SRC-34d5e30cc6</x:v>
      </x:c>
      <x:c r="X148" s="7" t="str"/>
      <x:c r="Y148" s="20" t="n">
        <x:v>141</x:v>
      </x:c>
      <x:c r="Z148" s="7" t="str"/>
      <x:c r="AA148" s="7" t="str"/>
      <x:c r="AB148" s="7" t="str"/>
    </x:row>
    <x:row r="149" ht="40.400001525878906" customHeight="1">
      <x:c r="A149" s="7" t="str">
        <x:v>2021年度</x:v>
      </x:c>
      <x:c r="B149" s="7" t="str">
        <x:v>年度</x:v>
      </x:c>
      <x:c r="C149" s="7" t="str">
        <x:v>mlit_narita</x:v>
      </x:c>
      <x:c r="D149" s="7" t="str">
        <x:v>成田空港地上車両自動運転</x:v>
      </x:c>
      <x:c r="E149" s="7" t="str">
        <x:v>制限区域ターミナル連絡バス実証開始</x:v>
      </x:c>
      <x:c r="F149" s="7" t="str">
        <x:v>旅客系実証</x:v>
      </x:c>
      <x:c r="G149" s="7" t="str">
        <x:v>地域事例</x:v>
      </x:c>
      <x:c r="H149" s="7" t="str">
        <x:v>国土交通省</x:v>
      </x:c>
      <x:c r="I149" s="7" t="str">
        <x:v>千葉県成田国際空港</x:v>
      </x:c>
      <x:c r="J149" s="7" t="str">
        <x:v>airportauto</x:v>
      </x:c>
      <x:c r="K149" s="18"/>
      <x:c r="L149" s="7" t="str"/>
      <x:c r="M149" s="18" t="n">
        <x:v>46326</x:v>
      </x:c>
      <x:c r="N149" s="7" t="str">
        <x:v>S284</x:v>
      </x:c>
      <x:c r="O149" s="7" t="str">
        <x:v>https://www.narita-airport.jp/ja/company/airport-operation/action/airnarita/automation/</x:v>
      </x:c>
      <x:c r="P149" s="7" t="str"/>
      <x:c r="Q149" s="7" t="str">
        <x:v>EV-febe771b8d6a</x:v>
      </x:c>
      <x:c r="R149" s="7" t="str">
        <x:v>mlit_narita</x:v>
      </x:c>
      <x:c r="S149" s="20" t="n">
        <x:v>2021</x:v>
      </x:c>
      <x:c r="T149" s="20" t="n">
        <x:v>4</x:v>
      </x:c>
      <x:c r="U149" s="7" t="str">
        <x:v>年度・年度末</x:v>
      </x:c>
      <x:c r="V149" s="18"/>
      <x:c r="W149" s="7" t="str">
        <x:v>SRC-0b54f721cb</x:v>
      </x:c>
      <x:c r="X149" s="7" t="str"/>
      <x:c r="Y149" s="20" t="n">
        <x:v>142</x:v>
      </x:c>
      <x:c r="Z149" s="7" t="str"/>
      <x:c r="AA149" s="7" t="str"/>
      <x:c r="AB149" s="7" t="str"/>
    </x:row>
    <x:row r="150" ht="40.400001525878906" customHeight="1">
      <x:c r="A150" s="7" t="str">
        <x:v>2021年4月23日</x:v>
      </x:c>
      <x:c r="B150" s="7" t="str">
        <x:v>日</x:v>
      </x:c>
      <x:c r="C150" s="7" t="str">
        <x:v>mlit_okueigenji</x:v>
      </x:c>
      <x:c r="D150" s="7" t="str">
        <x:v>奥永源寺渓流の里 自動運転</x:v>
      </x:c>
      <x:c r="E150" s="7" t="str">
        <x:v>本格導入</x:v>
      </x:c>
      <x:c r="F150" s="7" t="str">
        <x:v>実装開始</x:v>
      </x:c>
      <x:c r="G150" s="7" t="str">
        <x:v>地域事例</x:v>
      </x:c>
      <x:c r="H150" s="7" t="str">
        <x:v>国土交通省近畿地方整備局
国土交通省</x:v>
      </x:c>
      <x:c r="I150" s="7" t="str">
        <x:v>滋賀県東近江市</x:v>
      </x:c>
      <x:c r="J150" s="7" t="str">
        <x:v>roadstation</x:v>
      </x:c>
      <x:c r="K150" s="18"/>
      <x:c r="L150" s="7" t="str"/>
      <x:c r="M150" s="18" t="n">
        <x:v>46326</x:v>
      </x:c>
      <x:c r="N150" s="7" t="str">
        <x:v>S192</x:v>
      </x:c>
      <x:c r="O150" s="7" t="str">
        <x:v>https://www.kkr.mlit.go.jp/road/dgmx/jidouunten/okueigenji.html</x:v>
      </x:c>
      <x:c r="P150" s="7" t="str"/>
      <x:c r="Q150" s="7" t="str">
        <x:v>EV-29a3d0b8e9e8</x:v>
      </x:c>
      <x:c r="R150" s="7" t="str">
        <x:v>mlit_okueigenji</x:v>
      </x:c>
      <x:c r="S150" s="20" t="n">
        <x:v>2021</x:v>
      </x:c>
      <x:c r="T150" s="20" t="n">
        <x:v>4</x:v>
      </x:c>
      <x:c r="U150" s="7" t="str">
        <x:v>暦年・暦月</x:v>
      </x:c>
      <x:c r="V150" s="18" t="n">
        <x:v>44309</x:v>
      </x:c>
      <x:c r="W150" s="7" t="str">
        <x:v>SRC-6c5dc4fc02</x:v>
      </x:c>
      <x:c r="X150" s="7" t="str"/>
      <x:c r="Y150" s="20" t="n">
        <x:v>143</x:v>
      </x:c>
      <x:c r="Z150" s="7" t="str"/>
      <x:c r="AA150" s="7" t="str"/>
      <x:c r="AB150" s="7" t="str"/>
    </x:row>
    <x:row r="151" ht="30" customHeight="1">
      <x:c r="A151" s="7" t="str">
        <x:v>2021年4月27日</x:v>
      </x:c>
      <x:c r="B151" s="7" t="str">
        <x:v>日</x:v>
      </x:c>
      <x:c r="C151" s="7" t="str">
        <x:v>mlit_izuko</x:v>
      </x:c>
      <x:c r="D151" s="7" t="str">
        <x:v>観光型MaaS Izuko</x:v>
      </x:c>
      <x:c r="E151" s="7" t="str">
        <x:v>販売実績・持続運営検討を結果報告</x:v>
      </x:c>
      <x:c r="F151" s="7" t="str">
        <x:v>成果報告</x:v>
      </x:c>
      <x:c r="G151" s="7" t="str">
        <x:v>地域事例</x:v>
      </x:c>
      <x:c r="H151" s="7" t="str">
        <x:v>国土交通省</x:v>
      </x:c>
      <x:c r="I151" s="7" t="str">
        <x:v>静岡県伊豆半島・静岡方面</x:v>
      </x:c>
      <x:c r="J151" s="7" t="str">
        <x:v>maas_japan</x:v>
      </x:c>
      <x:c r="K151" s="18" t="n">
        <x:v>44313</x:v>
      </x:c>
      <x:c r="L151" s="7" t="str">
        <x:v>2021-04-27</x:v>
      </x:c>
      <x:c r="M151" s="18" t="n">
        <x:v>46326</x:v>
      </x:c>
      <x:c r="N151" s="7" t="str">
        <x:v>S321</x:v>
      </x:c>
      <x:c r="O151" s="7" t="str">
        <x:v>https://www.tokyu.co.jp/company/news/pdf/20210427-1.pdf</x:v>
      </x:c>
      <x:c r="P151" s="7" t="str"/>
      <x:c r="Q151" s="7" t="str">
        <x:v>EV-900ae42efdcd</x:v>
      </x:c>
      <x:c r="R151" s="7" t="str">
        <x:v>mlit_izuko</x:v>
      </x:c>
      <x:c r="S151" s="20" t="n">
        <x:v>2021</x:v>
      </x:c>
      <x:c r="T151" s="20" t="n">
        <x:v>4</x:v>
      </x:c>
      <x:c r="U151" s="7" t="str">
        <x:v>暦年・暦月</x:v>
      </x:c>
      <x:c r="V151" s="18" t="n">
        <x:v>44313</x:v>
      </x:c>
      <x:c r="W151" s="7" t="str">
        <x:v>SRC-ee011dca8a</x:v>
      </x:c>
      <x:c r="X151" s="7" t="str"/>
      <x:c r="Y151" s="20" t="n">
        <x:v>144</x:v>
      </x:c>
      <x:c r="Z151" s="7" t="str"/>
      <x:c r="AA151" s="7" t="str"/>
      <x:c r="AB151" s="7" t="str"/>
    </x:row>
    <x:row r="152" ht="40.400001525878906" customHeight="1">
      <x:c r="A152" s="7" t="str">
        <x:v>2021年4月28日</x:v>
      </x:c>
      <x:c r="B152" s="7" t="str">
        <x:v>日</x:v>
      </x:c>
      <x:c r="C152" s="7" t="str">
        <x:v>mlit_dento</x:v>
      </x:c>
      <x:c r="D152" s="7" t="str">
        <x:v>DENTO 郊外型MaaS</x:v>
      </x:c>
      <x:c r="E152" s="7" t="str">
        <x:v>実証期間終了</x:v>
      </x:c>
      <x:c r="F152" s="7" t="str">
        <x:v>実証終了</x:v>
      </x:c>
      <x:c r="G152" s="7" t="str">
        <x:v>地域事例</x:v>
      </x:c>
      <x:c r="H152" s="7" t="str">
        <x:v>国土交通省</x:v>
      </x:c>
      <x:c r="I152" s="7" t="str">
        <x:v>神奈川県・東京都 田園都市線沿線</x:v>
      </x:c>
      <x:c r="J152" s="7" t="str">
        <x:v>maas_japan</x:v>
      </x:c>
      <x:c r="K152" s="18" t="n">
        <x:v>44327</x:v>
      </x:c>
      <x:c r="L152" s="7" t="str">
        <x:v>2021-05-11</x:v>
      </x:c>
      <x:c r="M152" s="18" t="n">
        <x:v>46326</x:v>
      </x:c>
      <x:c r="N152" s="7" t="str">
        <x:v>S319</x:v>
      </x:c>
      <x:c r="O152" s="7" t="str">
        <x:v>https://www.tokyu.co.jp/company/news/detail/321.html</x:v>
      </x:c>
      <x:c r="P152" s="7" t="str"/>
      <x:c r="Q152" s="7" t="str">
        <x:v>EV-ccdab4734137</x:v>
      </x:c>
      <x:c r="R152" s="7" t="str">
        <x:v>mlit_dento</x:v>
      </x:c>
      <x:c r="S152" s="20" t="n">
        <x:v>2021</x:v>
      </x:c>
      <x:c r="T152" s="20" t="n">
        <x:v>4</x:v>
      </x:c>
      <x:c r="U152" s="7" t="str">
        <x:v>暦年・暦月</x:v>
      </x:c>
      <x:c r="V152" s="18" t="n">
        <x:v>44314</x:v>
      </x:c>
      <x:c r="W152" s="7" t="str">
        <x:v>SRC-ebdd15ebf0</x:v>
      </x:c>
      <x:c r="X152" s="7" t="str"/>
      <x:c r="Y152" s="20" t="n">
        <x:v>145</x:v>
      </x:c>
      <x:c r="Z152" s="7" t="str"/>
      <x:c r="AA152" s="7" t="str"/>
      <x:c r="AB152" s="7" t="str"/>
    </x:row>
    <x:row r="153" ht="40.400001525878906" customHeight="1">
      <x:c r="A153" s="7" t="str">
        <x:v>2021年5月11日</x:v>
      </x:c>
      <x:c r="B153" s="7" t="str">
        <x:v>日</x:v>
      </x:c>
      <x:c r="C153" s="7" t="str">
        <x:v>mlit_dento</x:v>
      </x:c>
      <x:c r="D153" s="7" t="str">
        <x:v>DENTO 郊外型MaaS</x:v>
      </x:c>
      <x:c r="E153" s="7" t="str">
        <x:v>結果発表</x:v>
      </x:c>
      <x:c r="F153" s="7" t="str">
        <x:v>成果報告</x:v>
      </x:c>
      <x:c r="G153" s="7" t="str">
        <x:v>地域事例</x:v>
      </x:c>
      <x:c r="H153" s="7" t="str">
        <x:v>国土交通省</x:v>
      </x:c>
      <x:c r="I153" s="7" t="str">
        <x:v>神奈川県・東京都 田園都市線沿線</x:v>
      </x:c>
      <x:c r="J153" s="7" t="str">
        <x:v>maas_japan</x:v>
      </x:c>
      <x:c r="K153" s="18" t="n">
        <x:v>44327</x:v>
      </x:c>
      <x:c r="L153" s="7" t="str">
        <x:v>2021-05-11</x:v>
      </x:c>
      <x:c r="M153" s="18" t="n">
        <x:v>46326</x:v>
      </x:c>
      <x:c r="N153" s="7" t="str">
        <x:v>S319</x:v>
      </x:c>
      <x:c r="O153" s="7" t="str">
        <x:v>https://www.tokyu.co.jp/company/news/detail/321.html</x:v>
      </x:c>
      <x:c r="P153" s="7" t="str"/>
      <x:c r="Q153" s="7" t="str">
        <x:v>EV-e8e2c0e7f307</x:v>
      </x:c>
      <x:c r="R153" s="7" t="str">
        <x:v>mlit_dento</x:v>
      </x:c>
      <x:c r="S153" s="20" t="n">
        <x:v>2021</x:v>
      </x:c>
      <x:c r="T153" s="20" t="n">
        <x:v>5</x:v>
      </x:c>
      <x:c r="U153" s="7" t="str">
        <x:v>暦年・暦月</x:v>
      </x:c>
      <x:c r="V153" s="18" t="n">
        <x:v>44327</x:v>
      </x:c>
      <x:c r="W153" s="7" t="str">
        <x:v>SRC-ebdd15ebf0</x:v>
      </x:c>
      <x:c r="X153" s="7" t="str"/>
      <x:c r="Y153" s="20" t="n">
        <x:v>146</x:v>
      </x:c>
      <x:c r="Z153" s="7" t="str"/>
      <x:c r="AA153" s="7" t="str"/>
      <x:c r="AB153" s="7" t="str"/>
    </x:row>
    <x:row r="154" ht="40.400001525878906" customHeight="1">
      <x:c r="A154" s="7" t="str">
        <x:v>2021年7月19日</x:v>
      </x:c>
      <x:c r="B154" s="7" t="str">
        <x:v>日</x:v>
      </x:c>
      <x:c r="C154" s="7" t="str">
        <x:v>mlit_miyama</x:v>
      </x:c>
      <x:c r="D154" s="7" t="str">
        <x:v>みやま市山川 自動運転</x:v>
      </x:c>
      <x:c r="E154" s="7" t="str">
        <x:v>市主体・事業者委託で本格運行</x:v>
      </x:c>
      <x:c r="F154" s="7" t="str">
        <x:v>実装開始</x:v>
      </x:c>
      <x:c r="G154" s="7" t="str">
        <x:v>地域事例</x:v>
      </x:c>
      <x:c r="H154" s="7" t="str">
        <x:v>国土交通省・SIP
国土交通省</x:v>
      </x:c>
      <x:c r="I154" s="7" t="str">
        <x:v>福岡県みやま市</x:v>
      </x:c>
      <x:c r="J154" s="7" t="str">
        <x:v>roadstation</x:v>
      </x:c>
      <x:c r="K154" s="18" t="n">
        <x:v>44389</x:v>
      </x:c>
      <x:c r="L154" s="7" t="str">
        <x:v>2021-07-12</x:v>
      </x:c>
      <x:c r="M154" s="18" t="n">
        <x:v>46326</x:v>
      </x:c>
      <x:c r="N154" s="7" t="str">
        <x:v>S333</x:v>
      </x:c>
      <x:c r="O154" s="7" t="str">
        <x:v>https://www8.cao.go.jp/cstp/stmain/20210712sipadus.html</x:v>
      </x:c>
      <x:c r="P154" s="7" t="str"/>
      <x:c r="Q154" s="7" t="str">
        <x:v>EV-108b14db815d</x:v>
      </x:c>
      <x:c r="R154" s="7" t="str">
        <x:v>mlit_miyama</x:v>
      </x:c>
      <x:c r="S154" s="20" t="n">
        <x:v>2021</x:v>
      </x:c>
      <x:c r="T154" s="20" t="n">
        <x:v>7</x:v>
      </x:c>
      <x:c r="U154" s="7" t="str">
        <x:v>暦年・暦月</x:v>
      </x:c>
      <x:c r="V154" s="18" t="n">
        <x:v>44396</x:v>
      </x:c>
      <x:c r="W154" s="7" t="str">
        <x:v>SRC-9d6b6f68ea</x:v>
      </x:c>
      <x:c r="X154" s="7" t="str"/>
      <x:c r="Y154" s="20" t="n">
        <x:v>147</x:v>
      </x:c>
      <x:c r="Z154" s="7" t="str"/>
      <x:c r="AA154" s="7" t="str"/>
      <x:c r="AB154" s="7" t="str"/>
    </x:row>
    <x:row r="155" ht="30" customHeight="1">
      <x:c r="A155" s="7" t="str">
        <x:v>2021年8月</x:v>
      </x:c>
      <x:c r="B155" s="7" t="str">
        <x:v>月</x:v>
      </x:c>
      <x:c r="C155" s="7" t="str">
        <x:v>mlit_saitama</x:v>
      </x:c>
      <x:c r="D155" s="7" t="str">
        <x:v>美園 AIオンデマンド・ライフサポート型MaaS</x:v>
      </x:c>
      <x:c r="E155" s="7" t="str">
        <x:v>利用実態と料金別結果を報告</x:v>
      </x:c>
      <x:c r="F155" s="7" t="str">
        <x:v>成果報告</x:v>
      </x:c>
      <x:c r="G155" s="7" t="str">
        <x:v>地域事例</x:v>
      </x:c>
      <x:c r="H155" s="7" t="str">
        <x:v>国土交通省</x:v>
      </x:c>
      <x:c r="I155" s="7" t="str">
        <x:v>埼玉県さいたま市美園地区</x:v>
      </x:c>
      <x:c r="J155" s="7" t="str">
        <x:v>smartcity</x:v>
      </x:c>
      <x:c r="K155" s="18" t="str">
        <x:v>2021-08</x:v>
      </x:c>
      <x:c r="L155" s="7" t="str">
        <x:v>2021-08</x:v>
      </x:c>
      <x:c r="M155" s="18" t="n">
        <x:v>46326</x:v>
      </x:c>
      <x:c r="N155" s="7" t="str">
        <x:v>S276</x:v>
      </x:c>
      <x:c r="O155" s="7" t="str">
        <x:v>https://www.mlit.go.jp/toshi/tosiko/content/001475403.pdf</x:v>
      </x:c>
      <x:c r="P155" s="7" t="str"/>
      <x:c r="Q155" s="7" t="str">
        <x:v>EV-587f2c28b509</x:v>
      </x:c>
      <x:c r="R155" s="7" t="str">
        <x:v>mlit_saitama</x:v>
      </x:c>
      <x:c r="S155" s="20" t="n">
        <x:v>2021</x:v>
      </x:c>
      <x:c r="T155" s="20" t="n">
        <x:v>8</x:v>
      </x:c>
      <x:c r="U155" s="7" t="str">
        <x:v>暦年・暦月</x:v>
      </x:c>
      <x:c r="V155" s="18"/>
      <x:c r="W155" s="7" t="str">
        <x:v>SRC-b6d2a3cc97</x:v>
      </x:c>
      <x:c r="X155" s="7" t="str"/>
      <x:c r="Y155" s="20" t="n">
        <x:v>148</x:v>
      </x:c>
      <x:c r="Z155" s="7" t="str"/>
      <x:c r="AA155" s="7" t="str"/>
      <x:c r="AB155" s="7" t="str"/>
    </x:row>
    <x:row r="156" ht="40.400001525878906" customHeight="1">
      <x:c r="A156" s="7" t="str">
        <x:v>2021年8月</x:v>
      </x:c>
      <x:c r="B156" s="7" t="str">
        <x:v>月</x:v>
      </x:c>
      <x:c r="C156" s="7" t="str">
        <x:v>meti_kyushu_v2g</x:v>
      </x:c>
      <x:c r="D156" s="7" t="str">
        <x:v>九州V2G</x:v>
      </x:c>
      <x:c r="E156" s="7" t="str">
        <x:v>技術性・経済性研究を公表</x:v>
      </x:c>
      <x:c r="F156" s="7" t="str">
        <x:v>結果公表</x:v>
      </x:c>
      <x:c r="G156" s="7" t="str">
        <x:v>地域事例</x:v>
      </x:c>
      <x:c r="H156" s="7" t="str">
        <x:v>経済産業省</x:v>
      </x:c>
      <x:c r="I156" s="7" t="str">
        <x:v>九州6拠点</x:v>
      </x:c>
      <x:c r="J156" s="7" t="str">
        <x:v>vpp</x:v>
      </x:c>
      <x:c r="K156" s="18" t="str">
        <x:v>2021-08</x:v>
      </x:c>
      <x:c r="L156" s="7" t="str">
        <x:v>2021-08</x:v>
      </x:c>
      <x:c r="M156" s="18" t="n">
        <x:v>46326</x:v>
      </x:c>
      <x:c r="N156" s="7" t="str">
        <x:v>S007</x:v>
      </x:c>
      <x:c r="O156" s="7" t="str">
        <x:v>https://criepi.denken.or.jp/hokokusho/pb/reportDetail?reportNoUkCode=GD21001</x:v>
      </x:c>
      <x:c r="P156" s="7" t="str"/>
      <x:c r="Q156" s="7" t="str">
        <x:v>EV-ecd85522439b</x:v>
      </x:c>
      <x:c r="R156" s="7" t="str">
        <x:v>meti_kyushu_v2g</x:v>
      </x:c>
      <x:c r="S156" s="20" t="n">
        <x:v>2021</x:v>
      </x:c>
      <x:c r="T156" s="20" t="n">
        <x:v>8</x:v>
      </x:c>
      <x:c r="U156" s="7" t="str">
        <x:v>暦年・暦月</x:v>
      </x:c>
      <x:c r="V156" s="18"/>
      <x:c r="W156" s="7" t="str">
        <x:v>SRC-ae053c7dd8</x:v>
      </x:c>
      <x:c r="X156" s="7" t="str"/>
      <x:c r="Y156" s="20" t="n">
        <x:v>149</x:v>
      </x:c>
      <x:c r="Z156" s="7" t="str"/>
      <x:c r="AA156" s="7" t="str"/>
      <x:c r="AB156" s="7" t="str"/>
    </x:row>
    <x:row r="157" ht="54.599998474121094" customHeight="1">
      <x:c r="A157" s="7" t="str">
        <x:v>2021年9月1日</x:v>
      </x:c>
      <x:c r="B157" s="7" t="str">
        <x:v>日</x:v>
      </x:c>
      <x:c r="C157" s="7" t="str">
        <x:v>DIG-P01</x:v>
      </x:c>
      <x:c r="D157" s="7" t="str">
        <x:v>官民ITS構想・ロードマップ（前身政策）</x:v>
      </x:c>
      <x:c r="E157" s="7" t="str">
        <x:v>デジタル庁発足。発足以前の官民ITSは内閣官房等の実績であり遡ってデジタル庁実績にしない。</x:v>
      </x:c>
      <x:c r="F157" s="7" t="str">
        <x:v>組織発足</x:v>
      </x:c>
      <x:c r="G157" s="7" t="str">
        <x:v>政策制度</x:v>
      </x:c>
      <x:c r="H157" s="7" t="str">
        <x:v>内閣官房IT総合戦略室
IT総合戦略本部・官民データ活用推進戦略会議</x:v>
      </x:c>
      <x:c r="I157" s="7" t="str"/>
      <x:c r="J157" s="7" t="str">
        <x:v>DIG-P01</x:v>
      </x:c>
      <x:c r="K157" s="18" t="n">
        <x:v>44440</x:v>
      </x:c>
      <x:c r="L157" s="7" t="str">
        <x:v>2021-09-01</x:v>
      </x:c>
      <x:c r="M157" s="18" t="n">
        <x:v>46326</x:v>
      </x:c>
      <x:c r="N157" s="7" t="str">
        <x:v>S138</x:v>
      </x:c>
      <x:c r="O157" s="7" t="str">
        <x:v>https://www.digital.go.jp/news/uWAA9Dcp</x:v>
      </x:c>
      <x:c r="P157" s="7" t="str"/>
      <x:c r="Q157" s="7" t="str">
        <x:v>EV-01858873c05e</x:v>
      </x:c>
      <x:c r="R157" s="7" t="str">
        <x:v>DIG-P01</x:v>
      </x:c>
      <x:c r="S157" s="20" t="n">
        <x:v>2021</x:v>
      </x:c>
      <x:c r="T157" s="20" t="n">
        <x:v>9</x:v>
      </x:c>
      <x:c r="U157" s="7" t="str">
        <x:v>暦年・暦月</x:v>
      </x:c>
      <x:c r="V157" s="18" t="n">
        <x:v>44440</x:v>
      </x:c>
      <x:c r="W157" s="7" t="str">
        <x:v>SRC-a2849c4e36</x:v>
      </x:c>
      <x:c r="X157" s="7" t="str"/>
      <x:c r="Y157" s="20" t="n">
        <x:v>150</x:v>
      </x:c>
      <x:c r="Z157" s="7" t="str"/>
      <x:c r="AA157" s="7" t="str"/>
      <x:c r="AB157" s="7" t="str"/>
    </x:row>
    <x:row r="158" ht="40.400001525878906" customHeight="1">
      <x:c r="A158" s="7" t="str">
        <x:v>2021年10月</x:v>
      </x:c>
      <x:c r="B158" s="7" t="str">
        <x:v>月</x:v>
      </x:c>
      <x:c r="C158" s="7" t="str">
        <x:v>mlit_iinan</x:v>
      </x:c>
      <x:c r="D158" s="7" t="str">
        <x:v>赤来高原・赤名地区 自動運転赤名線</x:v>
      </x:c>
      <x:c r="E158" s="7" t="str">
        <x:v>赤名地区運行開始</x:v>
      </x:c>
      <x:c r="F158" s="7" t="str">
        <x:v>実装開始</x:v>
      </x:c>
      <x:c r="G158" s="7" t="str">
        <x:v>地域事例</x:v>
      </x:c>
      <x:c r="H158" s="7" t="str">
        <x:v>国土交通省・SIP
国土交通省</x:v>
      </x:c>
      <x:c r="I158" s="7" t="str">
        <x:v>島根県飯南町</x:v>
      </x:c>
      <x:c r="J158" s="7" t="str">
        <x:v>roadstation</x:v>
      </x:c>
      <x:c r="K158" s="18" t="str">
        <x:v>2026</x:v>
      </x:c>
      <x:c r="L158" s="7" t="str">
        <x:v>2026</x:v>
      </x:c>
      <x:c r="M158" s="18" t="n">
        <x:v>46326</x:v>
      </x:c>
      <x:c r="N158" s="7" t="str">
        <x:v>S178</x:v>
      </x:c>
      <x:c r="O158" s="7" t="str">
        <x:v>https://www.iinan.jp/uploaded/attachment/7631.pdf</x:v>
      </x:c>
      <x:c r="P158" s="7" t="str"/>
      <x:c r="Q158" s="7" t="str">
        <x:v>EV-68bca9a0940f</x:v>
      </x:c>
      <x:c r="R158" s="7" t="str">
        <x:v>mlit_iinan</x:v>
      </x:c>
      <x:c r="S158" s="20" t="n">
        <x:v>2021</x:v>
      </x:c>
      <x:c r="T158" s="20" t="n">
        <x:v>10</x:v>
      </x:c>
      <x:c r="U158" s="7" t="str">
        <x:v>暦年・暦月</x:v>
      </x:c>
      <x:c r="V158" s="18"/>
      <x:c r="W158" s="7" t="str">
        <x:v>SRC-e3e51bf75a</x:v>
      </x:c>
      <x:c r="X158" s="7" t="str"/>
      <x:c r="Y158" s="20" t="n">
        <x:v>151</x:v>
      </x:c>
      <x:c r="Z158" s="7" t="str"/>
      <x:c r="AA158" s="7" t="str"/>
      <x:c r="AB158" s="7" t="str"/>
    </x:row>
    <x:row r="159" ht="111.4000015258789" customHeight="1">
      <x:c r="A159" s="7" t="str">
        <x:v>2021年10月13日</x:v>
      </x:c>
      <x:c r="B159" s="7" t="str">
        <x:v>日</x:v>
      </x:c>
      <x:c r="C159" s="7" t="str">
        <x:v>DIG-C01</x:v>
      </x:c>
      <x:c r="D159" s="7" t="str">
        <x:v>東京臨海部SIP自動運転実証</x:v>
      </x:c>
      <x:c r="E159" s="7" t="str">
        <x:v>NEDOが22機関による2021-11～2022-03実証を発表。</x:v>
      </x:c>
      <x:c r="F159" s="7" t="str">
        <x:v>実証告知</x:v>
      </x:c>
      <x:c r="G159" s="7" t="str">
        <x:v>地域事例</x:v>
      </x:c>
      <x:c r="H159" s="7" t="str">
        <x:v>内閣府
警察庁等
内閣府CSTI
NEDO
警察庁・総務省・経済産業省・国土交通省
関係省庁
内閣府・総務省・デジタル庁等</x:v>
      </x:c>
      <x:c r="I159" s="7" t="str">
        <x:v>東京都臨海副都心・羽田・首都高速</x:v>
      </x:c>
      <x:c r="J159" s="7" t="str">
        <x:v>DIG-P02
DIG-P03</x:v>
      </x:c>
      <x:c r="K159" s="18" t="n">
        <x:v>44482</x:v>
      </x:c>
      <x:c r="L159" s="7" t="str">
        <x:v>2021-10-13</x:v>
      </x:c>
      <x:c r="M159" s="18" t="n">
        <x:v>46326</x:v>
      </x:c>
      <x:c r="N159" s="7" t="str">
        <x:v>S292</x:v>
      </x:c>
      <x:c r="O159" s="7" t="str">
        <x:v>https://www.nedo.go.jp/news/press/AA5_101482.html</x:v>
      </x:c>
      <x:c r="P159" s="7" t="str"/>
      <x:c r="Q159" s="7" t="str">
        <x:v>EV-db10b3dc4d70</x:v>
      </x:c>
      <x:c r="R159" s="7" t="str">
        <x:v>DIG-C01</x:v>
      </x:c>
      <x:c r="S159" s="20" t="n">
        <x:v>2021</x:v>
      </x:c>
      <x:c r="T159" s="20" t="n">
        <x:v>10</x:v>
      </x:c>
      <x:c r="U159" s="7" t="str">
        <x:v>暦年・暦月</x:v>
      </x:c>
      <x:c r="V159" s="18" t="n">
        <x:v>44482</x:v>
      </x:c>
      <x:c r="W159" s="7" t="str">
        <x:v>SRC-807860fc7e</x:v>
      </x:c>
      <x:c r="X159" s="7" t="str"/>
      <x:c r="Y159" s="20" t="n">
        <x:v>152</x:v>
      </x:c>
      <x:c r="Z159" s="7" t="str"/>
      <x:c r="AA159" s="7" t="str"/>
      <x:c r="AB159" s="7" t="str"/>
    </x:row>
    <x:row r="160" ht="30" customHeight="1">
      <x:c r="A160" s="7" t="str">
        <x:v>2021年10月27日</x:v>
      </x:c>
      <x:c r="B160" s="7" t="str">
        <x:v>日</x:v>
      </x:c>
      <x:c r="C160" s="7" t="str">
        <x:v>meti_fukushima_rtf</x:v>
      </x:c>
      <x:c r="D160" s="7" t="str">
        <x:v>福島RTFドローン運航管理</x:v>
      </x:c>
      <x:c r="E160" s="7" t="str">
        <x:v>13地域52機を統合管理</x:v>
      </x:c>
      <x:c r="F160" s="7" t="str">
        <x:v>実証</x:v>
      </x:c>
      <x:c r="G160" s="7" t="str">
        <x:v>地域事例</x:v>
      </x:c>
      <x:c r="H160" s="7" t="str">
        <x:v>経済産業省</x:v>
      </x:c>
      <x:c r="I160" s="7" t="str">
        <x:v>福島県南相馬市等</x:v>
      </x:c>
      <x:c r="J160" s="7" t="str">
        <x:v>dress</x:v>
      </x:c>
      <x:c r="K160" s="18" t="str">
        <x:v>2023-01</x:v>
      </x:c>
      <x:c r="L160" s="7" t="str">
        <x:v>2023-01</x:v>
      </x:c>
      <x:c r="M160" s="18" t="n">
        <x:v>46326</x:v>
      </x:c>
      <x:c r="N160" s="7" t="str">
        <x:v>S290</x:v>
      </x:c>
      <x:c r="O160" s="7" t="str">
        <x:v>https://www.nedo.go.jp/media/practical-realization/202301kddi.html</x:v>
      </x:c>
      <x:c r="P160" s="7" t="str"/>
      <x:c r="Q160" s="7" t="str">
        <x:v>EV-f333b12bea72</x:v>
      </x:c>
      <x:c r="R160" s="7" t="str">
        <x:v>meti_fukushima_rtf</x:v>
      </x:c>
      <x:c r="S160" s="20" t="n">
        <x:v>2021</x:v>
      </x:c>
      <x:c r="T160" s="20" t="n">
        <x:v>10</x:v>
      </x:c>
      <x:c r="U160" s="7" t="str">
        <x:v>暦年・暦月</x:v>
      </x:c>
      <x:c r="V160" s="18" t="n">
        <x:v>44496</x:v>
      </x:c>
      <x:c r="W160" s="7" t="str">
        <x:v>SRC-2a1c186ca3</x:v>
      </x:c>
      <x:c r="X160" s="7" t="str"/>
      <x:c r="Y160" s="20" t="n">
        <x:v>153</x:v>
      </x:c>
      <x:c r="Z160" s="7" t="str"/>
      <x:c r="AA160" s="7" t="str"/>
      <x:c r="AB160" s="7" t="str"/>
    </x:row>
    <x:row r="161" ht="40.400001525878906" customHeight="1">
      <x:c r="A161" s="7" t="str">
        <x:v>2021年10月28日</x:v>
      </x:c>
      <x:c r="B161" s="7" t="str">
        <x:v>日</x:v>
      </x:c>
      <x:c r="C161" s="7" t="str">
        <x:v>ENV-C08</x:v>
      </x:c>
      <x:c r="D161" s="7" t="str">
        <x:v>NIKKO MaaS</x:v>
      </x:c>
      <x:c r="E161" s="7" t="str">
        <x:v>NIKKO MaaS開始</x:v>
      </x:c>
      <x:c r="F161" s="7" t="str">
        <x:v>実装</x:v>
      </x:c>
      <x:c r="G161" s="7" t="str">
        <x:v>地域事例</x:v>
      </x:c>
      <x:c r="H161" s="7" t="str">
        <x:v>環境省</x:v>
      </x:c>
      <x:c r="I161" s="7" t="str">
        <x:v>栃木県日光市</x:v>
      </x:c>
      <x:c r="J161" s="7" t="str">
        <x:v>ENV-P03</x:v>
      </x:c>
      <x:c r="K161" s="18" t="n">
        <x:v>44469</x:v>
      </x:c>
      <x:c r="L161" s="7" t="str">
        <x:v>2021-09-30</x:v>
      </x:c>
      <x:c r="M161" s="18" t="n">
        <x:v>46326</x:v>
      </x:c>
      <x:c r="N161" s="7" t="str">
        <x:v>S300</x:v>
      </x:c>
      <x:c r="O161" s="7" t="str">
        <x:v>https://www.orix.co.jp/grp/company/newsroom/newsrelease/210930_ORIXG2.html</x:v>
      </x:c>
      <x:c r="P161" s="7" t="str">
        <x:v>同一期間内の厳密な前後関係は日付精度により未確定</x:v>
      </x:c>
      <x:c r="Q161" s="7" t="str">
        <x:v>EV-c0f2c622894b</x:v>
      </x:c>
      <x:c r="R161" s="7" t="str">
        <x:v>ENV-C08</x:v>
      </x:c>
      <x:c r="S161" s="20" t="n">
        <x:v>2021</x:v>
      </x:c>
      <x:c r="T161" s="20" t="n">
        <x:v>10</x:v>
      </x:c>
      <x:c r="U161" s="7" t="str">
        <x:v>暦年・暦月</x:v>
      </x:c>
      <x:c r="V161" s="18" t="n">
        <x:v>44497</x:v>
      </x:c>
      <x:c r="W161" s="7" t="str">
        <x:v>SRC-bf422afeb0</x:v>
      </x:c>
      <x:c r="X161" s="7" t="str"/>
      <x:c r="Y161" s="20" t="n">
        <x:v>154</x:v>
      </x:c>
      <x:c r="Z161" s="7" t="str"/>
      <x:c r="AA161" s="7" t="str"/>
      <x:c r="AB161" s="7" t="str"/>
    </x:row>
    <x:row r="162" ht="54.599998474121094" customHeight="1">
      <x:c r="A162" s="7" t="str">
        <x:v>2021年11月</x:v>
      </x:c>
      <x:c r="B162" s="7" t="str">
        <x:v>月</x:v>
      </x:c>
      <x:c r="C162" s="7" t="str">
        <x:v>DIG-P03</x:v>
      </x:c>
      <x:c r="D162" s="7" t="str">
        <x:v>SIP第2期 自動運転（システムとサービスの拡張）</x:v>
      </x:c>
      <x:c r="E162" s="7" t="str">
        <x:v>東京臨海部22機関実証、V2N等を2022-03まで検証する計画。</x:v>
      </x:c>
      <x:c r="F162" s="7" t="str">
        <x:v>実証予定</x:v>
      </x:c>
      <x:c r="G162" s="7" t="str">
        <x:v>政策制度</x:v>
      </x:c>
      <x:c r="H162" s="7" t="str">
        <x:v>内閣府CSTI
NEDO
関係省庁</x:v>
      </x:c>
      <x:c r="I162" s="7" t="str"/>
      <x:c r="J162" s="7" t="str">
        <x:v>DIG-P03</x:v>
      </x:c>
      <x:c r="K162" s="18" t="n">
        <x:v>44482</x:v>
      </x:c>
      <x:c r="L162" s="7" t="str">
        <x:v>2021-10-13</x:v>
      </x:c>
      <x:c r="M162" s="18" t="n">
        <x:v>46326</x:v>
      </x:c>
      <x:c r="N162" s="7" t="str">
        <x:v>S292</x:v>
      </x:c>
      <x:c r="O162" s="7" t="str">
        <x:v>https://www.nedo.go.jp/news/press/AA5_101482.html</x:v>
      </x:c>
      <x:c r="P162" s="7" t="str"/>
      <x:c r="Q162" s="7" t="str">
        <x:v>EV-f09afc6d30e9</x:v>
      </x:c>
      <x:c r="R162" s="7" t="str">
        <x:v>DIG-P03</x:v>
      </x:c>
      <x:c r="S162" s="20" t="n">
        <x:v>2021</x:v>
      </x:c>
      <x:c r="T162" s="20" t="n">
        <x:v>11</x:v>
      </x:c>
      <x:c r="U162" s="7" t="str">
        <x:v>暦年・暦月</x:v>
      </x:c>
      <x:c r="V162" s="18"/>
      <x:c r="W162" s="7" t="str">
        <x:v>SRC-807860fc7e</x:v>
      </x:c>
      <x:c r="X162" s="7" t="str"/>
      <x:c r="Y162" s="20" t="n">
        <x:v>155</x:v>
      </x:c>
      <x:c r="Z162" s="7" t="str"/>
      <x:c r="AA162" s="7" t="str"/>
      <x:c r="AB162" s="7" t="str"/>
    </x:row>
    <x:row r="163" ht="40.400001525878906" customHeight="1">
      <x:c r="A163" s="7" t="str">
        <x:v>2021年11月16日</x:v>
      </x:c>
      <x:c r="B163" s="7" t="str">
        <x:v>日</x:v>
      </x:c>
      <x:c r="C163" s="7" t="str">
        <x:v>meti_ina</x:v>
      </x:c>
      <x:c r="D163" s="7" t="str">
        <x:v>ゆうあいマーケット</x:v>
      </x:c>
      <x:c r="E163" s="7" t="str">
        <x:v>10km超河川ルートの商品配送</x:v>
      </x:c>
      <x:c r="F163" s="7" t="str">
        <x:v>機能拡張</x:v>
      </x:c>
      <x:c r="G163" s="7" t="str">
        <x:v>地域事例</x:v>
      </x:c>
      <x:c r="H163" s="7" t="str">
        <x:v>経済産業省</x:v>
      </x:c>
      <x:c r="I163" s="7" t="str">
        <x:v>長野県伊那市</x:v>
      </x:c>
      <x:c r="J163" s="7" t="str">
        <x:v>dress</x:v>
      </x:c>
      <x:c r="K163" s="18" t="n">
        <x:v>44517</x:v>
      </x:c>
      <x:c r="L163" s="7" t="str">
        <x:v>2021-11-17</x:v>
      </x:c>
      <x:c r="M163" s="18" t="n">
        <x:v>46326</x:v>
      </x:c>
      <x:c r="N163" s="7" t="str">
        <x:v>S181</x:v>
      </x:c>
      <x:c r="O163" s="7" t="str">
        <x:v>https://www.inacity.jp/shisei/inashiseisakusesaku/shinsangyougijutu/dronekatuyou/174kija2021111716.html</x:v>
      </x:c>
      <x:c r="P163" s="7" t="str"/>
      <x:c r="Q163" s="7" t="str">
        <x:v>EV-6b8b31b6da8e</x:v>
      </x:c>
      <x:c r="R163" s="7" t="str">
        <x:v>meti_ina</x:v>
      </x:c>
      <x:c r="S163" s="20" t="n">
        <x:v>2021</x:v>
      </x:c>
      <x:c r="T163" s="20" t="n">
        <x:v>11</x:v>
      </x:c>
      <x:c r="U163" s="7" t="str">
        <x:v>暦年・暦月</x:v>
      </x:c>
      <x:c r="V163" s="18" t="n">
        <x:v>44516</x:v>
      </x:c>
      <x:c r="W163" s="7" t="str">
        <x:v>SRC-8e7596ba84</x:v>
      </x:c>
      <x:c r="X163" s="7" t="str"/>
      <x:c r="Y163" s="20" t="n">
        <x:v>156</x:v>
      </x:c>
      <x:c r="Z163" s="7" t="str"/>
      <x:c r="AA163" s="7" t="str"/>
      <x:c r="AB163" s="7" t="str"/>
    </x:row>
    <x:row r="164" ht="40.400001525878906" customHeight="1">
      <x:c r="A164" s="7" t="str">
        <x:v>2021年11月29日</x:v>
      </x:c>
      <x:c r="B164" s="7" t="str">
        <x:v>日</x:v>
      </x:c>
      <x:c r="C164" s="7" t="str">
        <x:v>meti_mitoyo</x:v>
      </x:c>
      <x:c r="D164" s="7" t="str">
        <x:v>ゴイッショみとよ共同送迎</x:v>
      </x:c>
      <x:c r="E164" s="7" t="str">
        <x:v>共同送迎プレ運行開始</x:v>
      </x:c>
      <x:c r="F164" s="7" t="str">
        <x:v>実証</x:v>
      </x:c>
      <x:c r="G164" s="7" t="str">
        <x:v>地域事例</x:v>
      </x:c>
      <x:c r="H164" s="7" t="str">
        <x:v>経済産業省</x:v>
      </x:c>
      <x:c r="I164" s="7" t="str">
        <x:v>香川県三豊市</x:v>
      </x:c>
      <x:c r="J164" s="7" t="str">
        <x:v>smc</x:v>
      </x:c>
      <x:c r="K164" s="18" t="n">
        <x:v>44656</x:v>
      </x:c>
      <x:c r="L164" s="7" t="str">
        <x:v>2022-04-05</x:v>
      </x:c>
      <x:c r="M164" s="18" t="n">
        <x:v>46326</x:v>
      </x:c>
      <x:c r="N164" s="7" t="str">
        <x:v>S211</x:v>
      </x:c>
      <x:c r="O164" s="7" t="str">
        <x:v>https://www.meti.go.jp/shingikai/mono_info_service/smart_mobility_challenge/pdf/20220405_01_s01.pdf</x:v>
      </x:c>
      <x:c r="P164" s="7" t="str">
        <x:v>同一期間内の厳密な前後関係は日付精度により未確定</x:v>
      </x:c>
      <x:c r="Q164" s="7" t="str">
        <x:v>EV-32976d05fdec</x:v>
      </x:c>
      <x:c r="R164" s="7" t="str">
        <x:v>meti_mitoyo</x:v>
      </x:c>
      <x:c r="S164" s="20" t="n">
        <x:v>2021</x:v>
      </x:c>
      <x:c r="T164" s="20" t="n">
        <x:v>11</x:v>
      </x:c>
      <x:c r="U164" s="7" t="str">
        <x:v>暦年・暦月</x:v>
      </x:c>
      <x:c r="V164" s="18" t="n">
        <x:v>44529</x:v>
      </x:c>
      <x:c r="W164" s="7" t="str">
        <x:v>SRC-91c991f144</x:v>
      </x:c>
      <x:c r="X164" s="7" t="str"/>
      <x:c r="Y164" s="20" t="n">
        <x:v>157</x:v>
      </x:c>
      <x:c r="Z164" s="7" t="str"/>
      <x:c r="AA164" s="7" t="str"/>
      <x:c r="AB164" s="7" t="str"/>
    </x:row>
    <x:row r="165" ht="30" customHeight="1">
      <x:c r="A165" s="7" t="str">
        <x:v>2021年12月</x:v>
      </x:c>
      <x:c r="B165" s="7" t="str">
        <x:v>月</x:v>
      </x:c>
      <x:c r="C165" s="7" t="str">
        <x:v>ENV-C17</x:v>
      </x:c>
      <x:c r="D165" s="7" t="str">
        <x:v>徳島バスの燃料電池路線バス</x:v>
      </x:c>
      <x:c r="E165" s="7" t="str">
        <x:v>排出削減集計開始月</x:v>
      </x:c>
      <x:c r="F165" s="7" t="str">
        <x:v>稼働評価開始</x:v>
      </x:c>
      <x:c r="G165" s="7" t="str">
        <x:v>地域事例</x:v>
      </x:c>
      <x:c r="H165" s="7" t="str">
        <x:v>環境省</x:v>
      </x:c>
      <x:c r="I165" s="7" t="str">
        <x:v>徳島県徳島市・鳴門市等</x:v>
      </x:c>
      <x:c r="J165" s="7" t="str"/>
      <x:c r="K165" s="18"/>
      <x:c r="L165" s="7" t="str"/>
      <x:c r="M165" s="18" t="n">
        <x:v>46326</x:v>
      </x:c>
      <x:c r="N165" s="7" t="str">
        <x:v>S003</x:v>
      </x:c>
      <x:c r="O165" s="7" t="str">
        <x:v>https://chushikoku.env.go.jp/shikoku/content/000128392.pdf</x:v>
      </x:c>
      <x:c r="P165" s="7" t="str"/>
      <x:c r="Q165" s="7" t="str">
        <x:v>EV-dd6a77479a74</x:v>
      </x:c>
      <x:c r="R165" s="7" t="str">
        <x:v>ENV-C17</x:v>
      </x:c>
      <x:c r="S165" s="20" t="n">
        <x:v>2021</x:v>
      </x:c>
      <x:c r="T165" s="20" t="n">
        <x:v>12</x:v>
      </x:c>
      <x:c r="U165" s="7" t="str">
        <x:v>暦年・暦月</x:v>
      </x:c>
      <x:c r="V165" s="18"/>
      <x:c r="W165" s="7" t="str">
        <x:v>SRC-85ed858f18</x:v>
      </x:c>
      <x:c r="X165" s="7" t="str"/>
      <x:c r="Y165" s="20" t="n">
        <x:v>158</x:v>
      </x:c>
      <x:c r="Z165" s="7" t="str"/>
      <x:c r="AA165" s="7" t="str"/>
      <x:c r="AB165" s="7" t="str"/>
    </x:row>
    <x:row r="166" ht="30" customHeight="1">
      <x:c r="A166" s="7" t="str">
        <x:v>2021年12月6日</x:v>
      </x:c>
      <x:c r="B166" s="7" t="str">
        <x:v>日</x:v>
      </x:c>
      <x:c r="C166" s="7" t="str">
        <x:v>ENV-C05</x:v>
      </x:c>
      <x:c r="D166" s="7" t="str">
        <x:v>コトコト感幸バス</x:v>
      </x:c>
      <x:c r="E166" s="7" t="str">
        <x:v>運行終了を町が告知</x:v>
      </x:c>
      <x:c r="F166" s="7" t="str">
        <x:v>終了予定</x:v>
      </x:c>
      <x:c r="G166" s="7" t="str">
        <x:v>地域事例</x:v>
      </x:c>
      <x:c r="H166" s="7" t="str">
        <x:v>環境省</x:v>
      </x:c>
      <x:c r="I166" s="7" t="str">
        <x:v>香川県琴平町</x:v>
      </x:c>
      <x:c r="J166" s="7" t="str">
        <x:v>ENV-P02</x:v>
      </x:c>
      <x:c r="K166" s="18" t="n">
        <x:v>44536</x:v>
      </x:c>
      <x:c r="L166" s="7" t="str">
        <x:v>2021-12-06</x:v>
      </x:c>
      <x:c r="M166" s="18" t="n">
        <x:v>46326</x:v>
      </x:c>
      <x:c r="N166" s="7" t="str">
        <x:v>S324</x:v>
      </x:c>
      <x:c r="O166" s="7" t="str">
        <x:v>https://www.town.kotohira.kagawa.jp/soshiki/0/7138.html</x:v>
      </x:c>
      <x:c r="P166" s="7" t="str"/>
      <x:c r="Q166" s="7" t="str">
        <x:v>EV-7f63eed5a36f</x:v>
      </x:c>
      <x:c r="R166" s="7" t="str">
        <x:v>ENV-C05</x:v>
      </x:c>
      <x:c r="S166" s="20" t="n">
        <x:v>2021</x:v>
      </x:c>
      <x:c r="T166" s="20" t="n">
        <x:v>12</x:v>
      </x:c>
      <x:c r="U166" s="7" t="str">
        <x:v>暦年・暦月</x:v>
      </x:c>
      <x:c r="V166" s="18" t="n">
        <x:v>44536</x:v>
      </x:c>
      <x:c r="W166" s="7" t="str">
        <x:v>SRC-05486448f8</x:v>
      </x:c>
      <x:c r="X166" s="7" t="str"/>
      <x:c r="Y166" s="20" t="n">
        <x:v>159</x:v>
      </x:c>
      <x:c r="Z166" s="7" t="str"/>
      <x:c r="AA166" s="7" t="str"/>
      <x:c r="AB166" s="7" t="str"/>
    </x:row>
    <x:row r="167" ht="30" customHeight="1">
      <x:c r="A167" s="7" t="str">
        <x:v>2021年12月28日</x:v>
      </x:c>
      <x:c r="B167" s="7" t="str">
        <x:v>日</x:v>
      </x:c>
      <x:c r="C167" s="7" t="str">
        <x:v>ENV-C04</x:v>
      </x:c>
      <x:c r="D167" s="7" t="str">
        <x:v>石見銀山ぎんざんカート</x:v>
      </x:c>
      <x:c r="E167" s="7" t="str">
        <x:v>国のIoT実証期間終了</x:v>
      </x:c>
      <x:c r="F167" s="7" t="str">
        <x:v>実証終了</x:v>
      </x:c>
      <x:c r="G167" s="7" t="str">
        <x:v>地域事例</x:v>
      </x:c>
      <x:c r="H167" s="7" t="str">
        <x:v>環境省</x:v>
      </x:c>
      <x:c r="I167" s="7" t="str">
        <x:v>島根県大田市</x:v>
      </x:c>
      <x:c r="J167" s="7" t="str">
        <x:v>ENV-P02</x:v>
      </x:c>
      <x:c r="K167" s="18"/>
      <x:c r="L167" s="7" t="str"/>
      <x:c r="M167" s="18" t="n">
        <x:v>46326</x:v>
      </x:c>
      <x:c r="N167" s="7" t="str">
        <x:v>S146</x:v>
      </x:c>
      <x:c r="O167" s="7" t="str">
        <x:v>https://www.env.go.jp/content/000126068.pdf</x:v>
      </x:c>
      <x:c r="P167" s="7" t="str"/>
      <x:c r="Q167" s="7" t="str">
        <x:v>EV-1ff2a7d3e007</x:v>
      </x:c>
      <x:c r="R167" s="7" t="str">
        <x:v>ENV-C04</x:v>
      </x:c>
      <x:c r="S167" s="20" t="n">
        <x:v>2021</x:v>
      </x:c>
      <x:c r="T167" s="20" t="n">
        <x:v>12</x:v>
      </x:c>
      <x:c r="U167" s="7" t="str">
        <x:v>暦年・暦月</x:v>
      </x:c>
      <x:c r="V167" s="18" t="n">
        <x:v>44558</x:v>
      </x:c>
      <x:c r="W167" s="7" t="str">
        <x:v>SRC-34d5e30cc6</x:v>
      </x:c>
      <x:c r="X167" s="7" t="str"/>
      <x:c r="Y167" s="20" t="n">
        <x:v>160</x:v>
      </x:c>
      <x:c r="Z167" s="7" t="str"/>
      <x:c r="AA167" s="7" t="str"/>
      <x:c r="AB167" s="7" t="str"/>
    </x:row>
    <x:row r="168" ht="30" customHeight="1">
      <x:c r="A168" s="7" t="str">
        <x:v>2021年12月28日</x:v>
      </x:c>
      <x:c r="B168" s="7" t="str">
        <x:v>日</x:v>
      </x:c>
      <x:c r="C168" s="7" t="str">
        <x:v>ENV-C05</x:v>
      </x:c>
      <x:c r="D168" s="7" t="str">
        <x:v>コトコト感幸バス</x:v>
      </x:c>
      <x:c r="E168" s="7" t="str">
        <x:v>運行終了</x:v>
      </x:c>
      <x:c r="F168" s="7" t="str">
        <x:v>終了</x:v>
      </x:c>
      <x:c r="G168" s="7" t="str">
        <x:v>地域事例</x:v>
      </x:c>
      <x:c r="H168" s="7" t="str">
        <x:v>環境省</x:v>
      </x:c>
      <x:c r="I168" s="7" t="str">
        <x:v>香川県琴平町</x:v>
      </x:c>
      <x:c r="J168" s="7" t="str">
        <x:v>ENV-P02</x:v>
      </x:c>
      <x:c r="K168" s="18" t="n">
        <x:v>44536</x:v>
      </x:c>
      <x:c r="L168" s="7" t="str">
        <x:v>2021-12-06</x:v>
      </x:c>
      <x:c r="M168" s="18" t="n">
        <x:v>46326</x:v>
      </x:c>
      <x:c r="N168" s="7" t="str">
        <x:v>S324</x:v>
      </x:c>
      <x:c r="O168" s="7" t="str">
        <x:v>https://www.town.kotohira.kagawa.jp/soshiki/0/7138.html</x:v>
      </x:c>
      <x:c r="P168" s="7" t="str"/>
      <x:c r="Q168" s="7" t="str">
        <x:v>EV-9e642a16a29e</x:v>
      </x:c>
      <x:c r="R168" s="7" t="str">
        <x:v>ENV-C05</x:v>
      </x:c>
      <x:c r="S168" s="20" t="n">
        <x:v>2021</x:v>
      </x:c>
      <x:c r="T168" s="20" t="n">
        <x:v>12</x:v>
      </x:c>
      <x:c r="U168" s="7" t="str">
        <x:v>暦年・暦月</x:v>
      </x:c>
      <x:c r="V168" s="18" t="n">
        <x:v>44558</x:v>
      </x:c>
      <x:c r="W168" s="7" t="str">
        <x:v>SRC-05486448f8</x:v>
      </x:c>
      <x:c r="X168" s="7" t="str"/>
      <x:c r="Y168" s="20" t="n">
        <x:v>161</x:v>
      </x:c>
      <x:c r="Z168" s="7" t="str"/>
      <x:c r="AA168" s="7" t="str"/>
      <x:c r="AB168" s="7" t="str"/>
    </x:row>
    <x:row r="169" ht="30" customHeight="1">
      <x:c r="A169" s="7" t="str">
        <x:v>2021年12月28日</x:v>
      </x:c>
      <x:c r="B169" s="7" t="str">
        <x:v>日</x:v>
      </x:c>
      <x:c r="C169" s="7" t="str">
        <x:v>ENV-C06</x:v>
      </x:c>
      <x:c r="D169" s="7" t="str">
        <x:v>由布院ノルク</x:v>
      </x:c>
      <x:c r="E169" s="7" t="str">
        <x:v>環境省IoT実証期間終了</x:v>
      </x:c>
      <x:c r="F169" s="7" t="str">
        <x:v>実証終了</x:v>
      </x:c>
      <x:c r="G169" s="7" t="str">
        <x:v>地域事例</x:v>
      </x:c>
      <x:c r="H169" s="7" t="str">
        <x:v>環境省</x:v>
      </x:c>
      <x:c r="I169" s="7" t="str">
        <x:v>大分県由布市</x:v>
      </x:c>
      <x:c r="J169" s="7" t="str">
        <x:v>ENV-P02</x:v>
      </x:c>
      <x:c r="K169" s="18"/>
      <x:c r="L169" s="7" t="str"/>
      <x:c r="M169" s="18" t="n">
        <x:v>46326</x:v>
      </x:c>
      <x:c r="N169" s="7" t="str">
        <x:v>S146</x:v>
      </x:c>
      <x:c r="O169" s="7" t="str">
        <x:v>https://www.env.go.jp/content/000126068.pdf</x:v>
      </x:c>
      <x:c r="P169" s="7" t="str"/>
      <x:c r="Q169" s="7" t="str">
        <x:v>EV-acc0f4116ad8</x:v>
      </x:c>
      <x:c r="R169" s="7" t="str">
        <x:v>ENV-C06</x:v>
      </x:c>
      <x:c r="S169" s="20" t="n">
        <x:v>2021</x:v>
      </x:c>
      <x:c r="T169" s="20" t="n">
        <x:v>12</x:v>
      </x:c>
      <x:c r="U169" s="7" t="str">
        <x:v>暦年・暦月</x:v>
      </x:c>
      <x:c r="V169" s="18" t="n">
        <x:v>44558</x:v>
      </x:c>
      <x:c r="W169" s="7" t="str">
        <x:v>SRC-34d5e30cc6</x:v>
      </x:c>
      <x:c r="X169" s="7" t="str"/>
      <x:c r="Y169" s="20" t="n">
        <x:v>162</x:v>
      </x:c>
      <x:c r="Z169" s="7" t="str"/>
      <x:c r="AA169" s="7" t="str"/>
      <x:c r="AB169" s="7" t="str"/>
    </x:row>
    <x:row r="170" ht="30" customHeight="1">
      <x:c r="A170" s="7" t="str">
        <x:v>2022年</x:v>
      </x:c>
      <x:c r="B170" s="7" t="str">
        <x:v>年</x:v>
      </x:c>
      <x:c r="C170" s="7" t="str">
        <x:v>OTHER-C01</x:v>
      </x:c>
      <x:c r="D170" s="7" t="str">
        <x:v>加子母の広報と生活支援 配達</x:v>
      </x:c>
      <x:c r="E170" s="7" t="str">
        <x:v>スマホ連携開始</x:v>
      </x:c>
      <x:c r="F170" s="7" t="str">
        <x:v>機能追加</x:v>
      </x:c>
      <x:c r="G170" s="7" t="str">
        <x:v>地域事例</x:v>
      </x:c>
      <x:c r="H170" s="7" t="str">
        <x:v>その他府省・横断</x:v>
      </x:c>
      <x:c r="I170" s="7" t="str">
        <x:v>岐阜県中津川市</x:v>
      </x:c>
      <x:c r="J170" s="7" t="str"/>
      <x:c r="K170" s="18" t="n">
        <x:v>45167</x:v>
      </x:c>
      <x:c r="L170" s="7" t="str">
        <x:v>2023-08-29</x:v>
      </x:c>
      <x:c r="M170" s="18" t="n">
        <x:v>46326</x:v>
      </x:c>
      <x:c r="N170" s="7" t="str">
        <x:v>S199</x:v>
      </x:c>
      <x:c r="O170" s="7" t="str">
        <x:v>https://www.maff.go.jp/j/nousin/digikatsu/attach/pdf/index-47.pdf</x:v>
      </x:c>
      <x:c r="P170" s="7" t="str"/>
      <x:c r="Q170" s="7" t="str">
        <x:v>EV-0cd9e8d6014c</x:v>
      </x:c>
      <x:c r="R170" s="7" t="str">
        <x:v>OTHER-C01</x:v>
      </x:c>
      <x:c r="S170" s="20" t="n">
        <x:v>2022</x:v>
      </x:c>
      <x:c r="T170" s="20" t="n">
        <x:v>1</x:v>
      </x:c>
      <x:c r="U170" s="7" t="str">
        <x:v>暦年・暦月</x:v>
      </x:c>
      <x:c r="V170" s="18"/>
      <x:c r="W170" s="7" t="str">
        <x:v>SRC-11b5defcfd</x:v>
      </x:c>
      <x:c r="X170" s="7" t="str"/>
      <x:c r="Y170" s="20" t="n">
        <x:v>163</x:v>
      </x:c>
      <x:c r="Z170" s="7" t="str"/>
      <x:c r="AA170" s="7" t="str"/>
      <x:c r="AB170" s="7" t="str"/>
    </x:row>
    <x:row r="171" ht="40.400001525878906" customHeight="1">
      <x:c r="A171" s="7" t="str">
        <x:v>2022年</x:v>
      </x:c>
      <x:c r="B171" s="7" t="str">
        <x:v>年</x:v>
      </x:c>
      <x:c r="C171" s="7" t="str">
        <x:v>mlit_iinan</x:v>
      </x:c>
      <x:c r="D171" s="7" t="str">
        <x:v>赤来高原・赤名地区 自動運転赤名線</x:v>
      </x:c>
      <x:c r="E171" s="7" t="str">
        <x:v>町外利用約8割、住民利用少・冬季低迷を議会報告</x:v>
      </x:c>
      <x:c r="F171" s="7" t="str">
        <x:v>課題確認</x:v>
      </x:c>
      <x:c r="G171" s="7" t="str">
        <x:v>地域事例</x:v>
      </x:c>
      <x:c r="H171" s="7" t="str">
        <x:v>国土交通省・SIP
国土交通省</x:v>
      </x:c>
      <x:c r="I171" s="7" t="str">
        <x:v>島根県飯南町</x:v>
      </x:c>
      <x:c r="J171" s="7" t="str">
        <x:v>roadstation</x:v>
      </x:c>
      <x:c r="K171" s="18" t="str">
        <x:v>2022</x:v>
      </x:c>
      <x:c r="L171" s="7" t="str">
        <x:v>2022</x:v>
      </x:c>
      <x:c r="M171" s="18" t="n">
        <x:v>46326</x:v>
      </x:c>
      <x:c r="N171" s="7" t="str">
        <x:v>S176</x:v>
      </x:c>
      <x:c r="O171" s="7" t="str">
        <x:v>https://www.iinan.jp/soshiki/6/4799.html</x:v>
      </x:c>
      <x:c r="P171" s="7" t="str"/>
      <x:c r="Q171" s="7" t="str">
        <x:v>EV-1d51247e7f09</x:v>
      </x:c>
      <x:c r="R171" s="7" t="str">
        <x:v>mlit_iinan</x:v>
      </x:c>
      <x:c r="S171" s="20" t="n">
        <x:v>2022</x:v>
      </x:c>
      <x:c r="T171" s="20" t="n">
        <x:v>1</x:v>
      </x:c>
      <x:c r="U171" s="7" t="str">
        <x:v>暦年・暦月</x:v>
      </x:c>
      <x:c r="V171" s="18"/>
      <x:c r="W171" s="7" t="str">
        <x:v>SRC-fea7df62a9</x:v>
      </x:c>
      <x:c r="X171" s="7" t="str"/>
      <x:c r="Y171" s="20" t="n">
        <x:v>164</x:v>
      </x:c>
      <x:c r="Z171" s="7" t="str"/>
      <x:c r="AA171" s="7" t="str"/>
      <x:c r="AB171" s="7" t="str"/>
    </x:row>
    <x:row r="172" ht="30" customHeight="1">
      <x:c r="A172" s="7" t="str">
        <x:v>2022年1月</x:v>
      </x:c>
      <x:c r="B172" s="7" t="str">
        <x:v>月</x:v>
      </x:c>
      <x:c r="C172" s="7" t="str">
        <x:v>ENV-C10</x:v>
      </x:c>
      <x:c r="D172" s="7" t="str">
        <x:v>山間地域EVスクールバス・学校太陽光連携</x:v>
      </x:c>
      <x:c r="E172" s="7" t="str">
        <x:v>EVマイクロバス実証開始</x:v>
      </x:c>
      <x:c r="F172" s="7" t="str">
        <x:v>実証</x:v>
      </x:c>
      <x:c r="G172" s="7" t="str">
        <x:v>地域事例</x:v>
      </x:c>
      <x:c r="H172" s="7" t="str">
        <x:v>環境省</x:v>
      </x:c>
      <x:c r="I172" s="7" t="str">
        <x:v>熊本県球磨村</x:v>
      </x:c>
      <x:c r="J172" s="7" t="str"/>
      <x:c r="K172" s="18"/>
      <x:c r="L172" s="7" t="str">
        <x:v>2024年（2021～2023年度成果）</x:v>
      </x:c>
      <x:c r="M172" s="18" t="n">
        <x:v>46326</x:v>
      </x:c>
      <x:c r="N172" s="7" t="str">
        <x:v>S147</x:v>
      </x:c>
      <x:c r="O172" s="7" t="str">
        <x:v>https://www.env.go.jp/content/000254037.pdf</x:v>
      </x:c>
      <x:c r="P172" s="7" t="str">
        <x:v>同一期間内の厳密な前後関係は日付精度により未確定</x:v>
      </x:c>
      <x:c r="Q172" s="7" t="str">
        <x:v>EV-25e599a0c16a</x:v>
      </x:c>
      <x:c r="R172" s="7" t="str">
        <x:v>ENV-C10</x:v>
      </x:c>
      <x:c r="S172" s="20" t="n">
        <x:v>2022</x:v>
      </x:c>
      <x:c r="T172" s="20" t="n">
        <x:v>1</x:v>
      </x:c>
      <x:c r="U172" s="7" t="str">
        <x:v>暦年・暦月</x:v>
      </x:c>
      <x:c r="V172" s="18"/>
      <x:c r="W172" s="7" t="str">
        <x:v>SRC-d1c42a88c8</x:v>
      </x:c>
      <x:c r="X172" s="7" t="str"/>
      <x:c r="Y172" s="20" t="n">
        <x:v>165</x:v>
      </x:c>
      <x:c r="Z172" s="7" t="str"/>
      <x:c r="AA172" s="7" t="str"/>
      <x:c r="AB172" s="7" t="str"/>
    </x:row>
    <x:row r="173" ht="68.80000305175781" customHeight="1">
      <x:c r="A173" s="7" t="str">
        <x:v>2022年</x:v>
      </x:c>
      <x:c r="B173" s="7" t="str">
        <x:v>年</x:v>
      </x:c>
      <x:c r="C173" s="7" t="str"/>
      <x:c r="D173" s="7" t="str">
        <x:v>国土交通省の政策動向</x:v>
      </x:c>
      <x:c r="E173" s="7" t="str">
        <x:v>共創モデル初回15、自動運転自治体実証支援開始、スマートシティ実装化支援、鉄道自動運転基本方針。</x:v>
      </x:c>
      <x:c r="F173" s="7" t="str"/>
      <x:c r="G173" s="7" t="str">
        <x:v>政策制度</x:v>
      </x:c>
      <x:c r="H173" s="7" t="str">
        <x:v>国土交通省</x:v>
      </x:c>
      <x:c r="I173" s="7" t="str"/>
      <x:c r="J173" s="7" t="str"/>
      <x:c r="K173" s="18"/>
      <x:c r="L173" s="7" t="str"/>
      <x:c r="M173" s="18" t="n">
        <x:v>46326</x:v>
      </x:c>
      <x:c r="N173" s="7" t="str">
        <x:v>S246
S229
S277
S249</x:v>
      </x:c>
      <x:c r="O173" s="7" t="str">
        <x:v>https://www.mlit.go.jp/toshi/tosiko/content/002002094.pdf</x:v>
      </x:c>
      <x:c r="P173" s="7" t="str"/>
      <x:c r="Q173" s="7" t="str">
        <x:v>EV-831c5c54abbf</x:v>
      </x:c>
      <x:c r="R173" s="7" t="str">
        <x:v>mlit</x:v>
      </x:c>
      <x:c r="S173" s="20" t="n">
        <x:v>2022</x:v>
      </x:c>
      <x:c r="T173" s="20" t="n">
        <x:v>1</x:v>
      </x:c>
      <x:c r="U173" s="7" t="str">
        <x:v>暦年・暦月</x:v>
      </x:c>
      <x:c r="V173" s="18"/>
      <x:c r="W173" s="7" t="str">
        <x:v>SRC-b090aec4fc
SRC-52977fc627
SRC-5807eb25af
SRC-575495076f</x:v>
      </x:c>
      <x:c r="X173" s="7" t="str">
        <x:v>https://www.mlit.go.jp/report/press/sogo12_hh_000270.html
https://www.mlit.go.jp/jidosha/jidosha_fr7_000066.html
https://www.mlit.go.jp/report/press/tetsudo07_hh_000229.html</x:v>
      </x:c>
      <x:c r="Y173" s="20" t="n">
        <x:v>166</x:v>
      </x:c>
      <x:c r="Z173" s="7" t="str"/>
      <x:c r="AA173" s="7" t="str"/>
      <x:c r="AB173" s="7" t="str"/>
    </x:row>
    <x:row r="174" ht="40.400001525878906" customHeight="1">
      <x:c r="A174" s="7" t="str">
        <x:v>2022年1月20日</x:v>
      </x:c>
      <x:c r="B174" s="7" t="str">
        <x:v>日</x:v>
      </x:c>
      <x:c r="C174" s="7" t="str">
        <x:v>meti_mitoyo</x:v>
      </x:c>
      <x:c r="D174" s="7" t="str">
        <x:v>ゴイッショみとよ共同送迎</x:v>
      </x:c>
      <x:c r="E174" s="7" t="str">
        <x:v>コロナ拡大で予定より8日前にプレ運行終了</x:v>
      </x:c>
      <x:c r="F174" s="7" t="str">
        <x:v>実証中断</x:v>
      </x:c>
      <x:c r="G174" s="7" t="str">
        <x:v>地域事例</x:v>
      </x:c>
      <x:c r="H174" s="7" t="str">
        <x:v>経済産業省</x:v>
      </x:c>
      <x:c r="I174" s="7" t="str">
        <x:v>香川県三豊市</x:v>
      </x:c>
      <x:c r="J174" s="7" t="str">
        <x:v>smc</x:v>
      </x:c>
      <x:c r="K174" s="18" t="n">
        <x:v>44656</x:v>
      </x:c>
      <x:c r="L174" s="7" t="str">
        <x:v>2022-04-05</x:v>
      </x:c>
      <x:c r="M174" s="18" t="n">
        <x:v>46326</x:v>
      </x:c>
      <x:c r="N174" s="7" t="str">
        <x:v>S211</x:v>
      </x:c>
      <x:c r="O174" s="7" t="str">
        <x:v>https://www.meti.go.jp/shingikai/mono_info_service/smart_mobility_challenge/pdf/20220405_01_s01.pdf</x:v>
      </x:c>
      <x:c r="P174" s="7" t="str"/>
      <x:c r="Q174" s="7" t="str">
        <x:v>EV-515486cc304c</x:v>
      </x:c>
      <x:c r="R174" s="7" t="str">
        <x:v>meti_mitoyo</x:v>
      </x:c>
      <x:c r="S174" s="20" t="n">
        <x:v>2022</x:v>
      </x:c>
      <x:c r="T174" s="20" t="n">
        <x:v>1</x:v>
      </x:c>
      <x:c r="U174" s="7" t="str">
        <x:v>暦年・暦月</x:v>
      </x:c>
      <x:c r="V174" s="18" t="n">
        <x:v>44581</x:v>
      </x:c>
      <x:c r="W174" s="7" t="str">
        <x:v>SRC-91c991f144</x:v>
      </x:c>
      <x:c r="X174" s="7" t="str"/>
      <x:c r="Y174" s="20" t="n">
        <x:v>167</x:v>
      </x:c>
      <x:c r="Z174" s="7" t="str"/>
      <x:c r="AA174" s="7" t="str"/>
      <x:c r="AB174" s="7" t="str"/>
    </x:row>
    <x:row r="175" ht="30" customHeight="1">
      <x:c r="A175" s="7" t="str">
        <x:v>2022年2月4日</x:v>
      </x:c>
      <x:c r="B175" s="7" t="str">
        <x:v>日</x:v>
      </x:c>
      <x:c r="C175" s="7" t="str">
        <x:v>ENV-C17</x:v>
      </x:c>
      <x:c r="D175" s="7" t="str">
        <x:v>徳島バスの燃料電池路線バス</x:v>
      </x:c>
      <x:c r="E175" s="7" t="str">
        <x:v>県会見でFC路線バス運行を確認</x:v>
      </x:c>
      <x:c r="F175" s="7" t="str">
        <x:v>稼働確認</x:v>
      </x:c>
      <x:c r="G175" s="7" t="str">
        <x:v>地域事例</x:v>
      </x:c>
      <x:c r="H175" s="7" t="str">
        <x:v>環境省</x:v>
      </x:c>
      <x:c r="I175" s="7" t="str">
        <x:v>徳島県徳島市・鳴門市等</x:v>
      </x:c>
      <x:c r="J175" s="7" t="str"/>
      <x:c r="K175" s="18" t="n">
        <x:v>44596</x:v>
      </x:c>
      <x:c r="L175" s="7" t="str">
        <x:v>2022-02-04</x:v>
      </x:c>
      <x:c r="M175" s="18" t="n">
        <x:v>46326</x:v>
      </x:c>
      <x:c r="N175" s="7" t="str">
        <x:v>S307</x:v>
      </x:c>
      <x:c r="O175" s="7" t="str">
        <x:v>https://www.pref.tokushima.lg.jp/governor/press-record/7204047/</x:v>
      </x:c>
      <x:c r="P175" s="7" t="str"/>
      <x:c r="Q175" s="7" t="str">
        <x:v>EV-5719a02de689</x:v>
      </x:c>
      <x:c r="R175" s="7" t="str">
        <x:v>ENV-C17</x:v>
      </x:c>
      <x:c r="S175" s="20" t="n">
        <x:v>2022</x:v>
      </x:c>
      <x:c r="T175" s="20" t="n">
        <x:v>2</x:v>
      </x:c>
      <x:c r="U175" s="7" t="str">
        <x:v>暦年・暦月</x:v>
      </x:c>
      <x:c r="V175" s="18" t="n">
        <x:v>44596</x:v>
      </x:c>
      <x:c r="W175" s="7" t="str">
        <x:v>SRC-18eb040d5a</x:v>
      </x:c>
      <x:c r="X175" s="7" t="str"/>
      <x:c r="Y175" s="20" t="n">
        <x:v>168</x:v>
      </x:c>
      <x:c r="Z175" s="7" t="str"/>
      <x:c r="AA175" s="7" t="str"/>
      <x:c r="AB175" s="7" t="str"/>
    </x:row>
    <x:row r="176" ht="83" customHeight="1">
      <x:c r="A176" s="7" t="str">
        <x:v>2022年2月14日</x:v>
      </x:c>
      <x:c r="B176" s="7" t="str">
        <x:v>日</x:v>
      </x:c>
      <x:c r="C176" s="7" t="str">
        <x:v>DIG-P07</x:v>
      </x:c>
      <x:c r="D176" s="7" t="str">
        <x:v>スマートシティ官民連携プラットフォーム</x:v>
      </x:c>
      <x:c r="E176" s="7" t="str">
        <x:v>デジタル庁が事務局に参加し5府省体制へ。</x:v>
      </x:c>
      <x:c r="F176" s="7" t="str">
        <x:v>運営変更</x:v>
      </x:c>
      <x:c r="G176" s="7" t="str">
        <x:v>政策制度</x:v>
      </x:c>
      <x:c r="H176" s="7" t="str">
        <x:v>内閣府
総務省
経済産業省
国土交通省
デジタル庁（2022-02参加）</x:v>
      </x:c>
      <x:c r="I176" s="7" t="str"/>
      <x:c r="J176" s="7" t="str">
        <x:v>DIG-P07</x:v>
      </x:c>
      <x:c r="K176" s="18" t="n">
        <x:v>44636</x:v>
      </x:c>
      <x:c r="L176" s="7" t="str">
        <x:v>2022-03-16</x:v>
      </x:c>
      <x:c r="M176" s="18" t="n">
        <x:v>46326</x:v>
      </x:c>
      <x:c r="N176" s="7" t="str">
        <x:v>S256</x:v>
      </x:c>
      <x:c r="O176" s="7" t="str">
        <x:v>https://www.mlit.go.jp/scpf/archives/docs/event_seminar220316_all.pdf</x:v>
      </x:c>
      <x:c r="P176" s="7" t="str"/>
      <x:c r="Q176" s="7" t="str">
        <x:v>EV-d063be53638e</x:v>
      </x:c>
      <x:c r="R176" s="7" t="str">
        <x:v>DIG-P07</x:v>
      </x:c>
      <x:c r="S176" s="20" t="n">
        <x:v>2022</x:v>
      </x:c>
      <x:c r="T176" s="20" t="n">
        <x:v>2</x:v>
      </x:c>
      <x:c r="U176" s="7" t="str">
        <x:v>暦年・暦月</x:v>
      </x:c>
      <x:c r="V176" s="18" t="n">
        <x:v>44606</x:v>
      </x:c>
      <x:c r="W176" s="7" t="str">
        <x:v>SRC-f40220283e</x:v>
      </x:c>
      <x:c r="X176" s="7" t="str"/>
      <x:c r="Y176" s="20" t="n">
        <x:v>169</x:v>
      </x:c>
      <x:c r="Z176" s="7" t="str"/>
      <x:c r="AA176" s="7" t="str"/>
      <x:c r="AB176" s="7" t="str"/>
    </x:row>
    <x:row r="177" ht="54.599998474121094" customHeight="1">
      <x:c r="A177" s="7" t="str">
        <x:v>2022年3月18日</x:v>
      </x:c>
      <x:c r="B177" s="7" t="str">
        <x:v>日</x:v>
      </x:c>
      <x:c r="C177" s="7" t="str">
        <x:v>DIG-P12</x:v>
      </x:c>
      <x:c r="D177" s="7" t="str">
        <x:v>デジタル田園都市国家構想と地方創生交付金の系列</x:v>
      </x:c>
      <x:c r="E177" s="7" t="str">
        <x:v>交付対象決定を大臣会見で公表。</x:v>
      </x:c>
      <x:c r="F177" s="7" t="str">
        <x:v>選定</x:v>
      </x:c>
      <x:c r="G177" s="7" t="str">
        <x:v>政策制度</x:v>
      </x:c>
      <x:c r="H177" s="7" t="str">
        <x:v>内閣官房・内閣府地方創生
デジタル庁（基盤・実装支援）
地方自治体</x:v>
      </x:c>
      <x:c r="I177" s="7" t="str"/>
      <x:c r="J177" s="7" t="str">
        <x:v>DIG-P12</x:v>
      </x:c>
      <x:c r="K177" s="18" t="n">
        <x:v>44638</x:v>
      </x:c>
      <x:c r="L177" s="7" t="str">
        <x:v>2022-03-18</x:v>
      </x:c>
      <x:c r="M177" s="18" t="n">
        <x:v>46326</x:v>
      </x:c>
      <x:c r="N177" s="7" t="str">
        <x:v>S061</x:v>
      </x:c>
      <x:c r="O177" s="7" t="str">
        <x:v>https://www.cao.go.jp/minister/2111_s_noda/kaiken/20220318kaiken.html</x:v>
      </x:c>
      <x:c r="P177" s="7" t="str">
        <x:v>同一期間内の厳密な前後関係は日付精度により未確定</x:v>
      </x:c>
      <x:c r="Q177" s="7" t="str">
        <x:v>EV-f8fae72a6a7c</x:v>
      </x:c>
      <x:c r="R177" s="7" t="str">
        <x:v>DIG-P12</x:v>
      </x:c>
      <x:c r="S177" s="20" t="n">
        <x:v>2022</x:v>
      </x:c>
      <x:c r="T177" s="20" t="n">
        <x:v>3</x:v>
      </x:c>
      <x:c r="U177" s="7" t="str">
        <x:v>暦年・暦月</x:v>
      </x:c>
      <x:c r="V177" s="18" t="n">
        <x:v>44638</x:v>
      </x:c>
      <x:c r="W177" s="7" t="str">
        <x:v>SRC-789ae32241</x:v>
      </x:c>
      <x:c r="X177" s="7" t="str"/>
      <x:c r="Y177" s="20" t="n">
        <x:v>170</x:v>
      </x:c>
      <x:c r="Z177" s="7" t="str"/>
      <x:c r="AA177" s="7" t="str"/>
      <x:c r="AB177" s="7" t="str"/>
    </x:row>
    <x:row r="178" ht="40.400001525878906" customHeight="1">
      <x:c r="A178" s="7" t="str">
        <x:v>2022年3月25日</x:v>
      </x:c>
      <x:c r="B178" s="7" t="str">
        <x:v>日</x:v>
      </x:c>
      <x:c r="C178" s="7" t="str">
        <x:v>ENV-P04</x:v>
      </x:c>
      <x:c r="D178" s="7" t="str">
        <x:v>再エネ×電動車同時導入によるカーシェア・防災拠点化</x:v>
      </x:c>
      <x:c r="E178" s="7" t="str">
        <x:v>環境省が再エネと電動車の同時導入によるカーシェア 防災拠点化の公募を開始。平常時の公用 社用車利用も対象。</x:v>
      </x:c>
      <x:c r="F178" s="7" t="str">
        <x:v>公募開始</x:v>
      </x:c>
      <x:c r="G178" s="7" t="str">
        <x:v>政策制度</x:v>
      </x:c>
      <x:c r="H178" s="7" t="str">
        <x:v>環境省</x:v>
      </x:c>
      <x:c r="I178" s="7" t="str"/>
      <x:c r="J178" s="7" t="str">
        <x:v>ENV-P04</x:v>
      </x:c>
      <x:c r="K178" s="18" t="n">
        <x:v>44645</x:v>
      </x:c>
      <x:c r="L178" s="7" t="str">
        <x:v>2022-03-25</x:v>
      </x:c>
      <x:c r="M178" s="18" t="n">
        <x:v>46326</x:v>
      </x:c>
      <x:c r="N178" s="7" t="str">
        <x:v>S164</x:v>
      </x:c>
      <x:c r="O178" s="7" t="str">
        <x:v>https://www.env.go.jp/press/110740.html</x:v>
      </x:c>
      <x:c r="P178" s="7" t="str"/>
      <x:c r="Q178" s="7" t="str">
        <x:v>EV-c8add4bf4af9</x:v>
      </x:c>
      <x:c r="R178" s="7" t="str">
        <x:v>integrated</x:v>
      </x:c>
      <x:c r="S178" s="20" t="n">
        <x:v>2022</x:v>
      </x:c>
      <x:c r="T178" s="20" t="n">
        <x:v>3</x:v>
      </x:c>
      <x:c r="U178" s="7" t="str">
        <x:v>暦年・暦月</x:v>
      </x:c>
      <x:c r="V178" s="18" t="n">
        <x:v>44645</x:v>
      </x:c>
      <x:c r="W178" s="7" t="str">
        <x:v>SRC-7392e4491e</x:v>
      </x:c>
      <x:c r="X178" s="7" t="str"/>
      <x:c r="Y178" s="20" t="n">
        <x:v>171</x:v>
      </x:c>
      <x:c r="Z178" s="7" t="str"/>
      <x:c r="AA178" s="7" t="str"/>
      <x:c r="AB178" s="7" t="str"/>
    </x:row>
    <x:row r="179" ht="40.400001525878906" customHeight="1">
      <x:c r="A179" s="7" t="str">
        <x:v>2022年度</x:v>
      </x:c>
      <x:c r="B179" s="7" t="str">
        <x:v>年度</x:v>
      </x:c>
      <x:c r="C179" s="7" t="str">
        <x:v>ENV-P05</x:v>
      </x:c>
      <x:c r="D179" s="7" t="str">
        <x:v>地域脱炭素移行・再エネ推進交付金：脱炭素先行地域／重点対策加速化</x:v>
      </x:c>
      <x:c r="E179" s="7" t="str">
        <x:v>脱炭素先行地域と重点対策加速化の交付金系列が始まる。地域全体の電力等と運輸を扱い進捗と評価を追う。</x:v>
      </x:c>
      <x:c r="F179" s="7" t="str">
        <x:v>制度開始</x:v>
      </x:c>
      <x:c r="G179" s="7" t="str">
        <x:v>政策制度</x:v>
      </x:c>
      <x:c r="H179" s="7" t="str">
        <x:v>環境省</x:v>
      </x:c>
      <x:c r="I179" s="7" t="str"/>
      <x:c r="J179" s="7" t="str">
        <x:v>ENV-P05</x:v>
      </x:c>
      <x:c r="K179" s="18"/>
      <x:c r="L179" s="7" t="str"/>
      <x:c r="M179" s="18" t="n">
        <x:v>46326</x:v>
      </x:c>
      <x:c r="N179" s="7" t="str">
        <x:v>S027</x:v>
      </x:c>
      <x:c r="O179" s="7" t="str">
        <x:v>https://policies.env.go.jp/policy/roadmap/preceding-region/</x:v>
      </x:c>
      <x:c r="P179" s="7" t="str"/>
      <x:c r="Q179" s="7" t="str">
        <x:v>EV-004d552e7920</x:v>
      </x:c>
      <x:c r="R179" s="7" t="str">
        <x:v>integrated</x:v>
      </x:c>
      <x:c r="S179" s="20" t="n">
        <x:v>2022</x:v>
      </x:c>
      <x:c r="T179" s="20" t="n">
        <x:v>4</x:v>
      </x:c>
      <x:c r="U179" s="7" t="str">
        <x:v>年度・年度末</x:v>
      </x:c>
      <x:c r="V179" s="18"/>
      <x:c r="W179" s="7" t="str">
        <x:v>SRC-96c044bd76</x:v>
      </x:c>
      <x:c r="X179" s="7" t="str"/>
      <x:c r="Y179" s="20" t="n">
        <x:v>172</x:v>
      </x:c>
      <x:c r="Z179" s="7" t="str"/>
      <x:c r="AA179" s="7" t="str"/>
      <x:c r="AB179" s="7" t="str"/>
    </x:row>
    <x:row r="180" ht="30" customHeight="1">
      <x:c r="A180" s="7" t="str">
        <x:v>2022年4月1日</x:v>
      </x:c>
      <x:c r="B180" s="7" t="str">
        <x:v>日</x:v>
      </x:c>
      <x:c r="C180" s="7" t="str">
        <x:v>V-C05</x:v>
      </x:c>
      <x:c r="D180" s="7" t="str">
        <x:v>のるーと塩尻</x:v>
      </x:c>
      <x:c r="E180" s="7" t="str">
        <x:v>中心市街地循環線廃止と置換</x:v>
      </x:c>
      <x:c r="F180" s="7" t="str">
        <x:v>本格運行</x:v>
      </x:c>
      <x:c r="G180" s="7" t="str">
        <x:v>地域事例</x:v>
      </x:c>
      <x:c r="H180" s="7" t="str">
        <x:v>横断検証（個別所管は資料参照）</x:v>
      </x:c>
      <x:c r="I180" s="7" t="str">
        <x:v>長野県塩尻市</x:v>
      </x:c>
      <x:c r="J180" s="7" t="str"/>
      <x:c r="K180" s="18" t="n">
        <x:v>44649</x:v>
      </x:c>
      <x:c r="L180" s="7" t="str">
        <x:v>2022-03-29</x:v>
      </x:c>
      <x:c r="M180" s="18" t="n">
        <x:v>46326</x:v>
      </x:c>
      <x:c r="N180" s="7" t="str">
        <x:v>S107</x:v>
      </x:c>
      <x:c r="O180" s="7" t="str">
        <x:v>https://www.city.shiojiri.lg.jp/soshiki/8/21176.html</x:v>
      </x:c>
      <x:c r="P180" s="7" t="str"/>
      <x:c r="Q180" s="7" t="str">
        <x:v>EV-01163ee0b6e2</x:v>
      </x:c>
      <x:c r="R180" s="7" t="str">
        <x:v>V-C05</x:v>
      </x:c>
      <x:c r="S180" s="20" t="n">
        <x:v>2022</x:v>
      </x:c>
      <x:c r="T180" s="20" t="n">
        <x:v>4</x:v>
      </x:c>
      <x:c r="U180" s="7" t="str">
        <x:v>暦年・暦月</x:v>
      </x:c>
      <x:c r="V180" s="18" t="n">
        <x:v>44652</x:v>
      </x:c>
      <x:c r="W180" s="7" t="str">
        <x:v>SRC-115881087c</x:v>
      </x:c>
      <x:c r="X180" s="7" t="str"/>
      <x:c r="Y180" s="20" t="n">
        <x:v>173</x:v>
      </x:c>
      <x:c r="Z180" s="7" t="str"/>
      <x:c r="AA180" s="7" t="str"/>
      <x:c r="AB180" s="7" t="str"/>
    </x:row>
    <x:row r="181" ht="30" customHeight="1">
      <x:c r="A181" s="7" t="str">
        <x:v>2022年度</x:v>
      </x:c>
      <x:c r="B181" s="7" t="str">
        <x:v>年度</x:v>
      </x:c>
      <x:c r="C181" s="7" t="str">
        <x:v>OTHER-C02</x:v>
      </x:c>
      <x:c r="D181" s="7" t="str">
        <x:v>阿東地域 トイトイ地域生活拠点</x:v>
      </x:c>
      <x:c r="E181" s="7" t="str">
        <x:v>地域リデザインプロジェクト開始</x:v>
      </x:c>
      <x:c r="F181" s="7" t="str">
        <x:v>取組開始</x:v>
      </x:c>
      <x:c r="G181" s="7" t="str">
        <x:v>地域事例</x:v>
      </x:c>
      <x:c r="H181" s="7" t="str">
        <x:v>その他府省・横断</x:v>
      </x:c>
      <x:c r="I181" s="7" t="str">
        <x:v>山口県山口市阿東</x:v>
      </x:c>
      <x:c r="J181" s="7" t="str"/>
      <x:c r="K181" s="18" t="n">
        <x:v>45167</x:v>
      </x:c>
      <x:c r="L181" s="7" t="str">
        <x:v>2023-08-29</x:v>
      </x:c>
      <x:c r="M181" s="18" t="n">
        <x:v>46326</x:v>
      </x:c>
      <x:c r="N181" s="7" t="str">
        <x:v>S200</x:v>
      </x:c>
      <x:c r="O181" s="7" t="str">
        <x:v>https://www.maff.go.jp/j/nousin/digikatsu/attach/pdf/index-48.pdf</x:v>
      </x:c>
      <x:c r="P181" s="7" t="str"/>
      <x:c r="Q181" s="7" t="str">
        <x:v>EV-1b62929beca0</x:v>
      </x:c>
      <x:c r="R181" s="7" t="str">
        <x:v>OTHER-C02</x:v>
      </x:c>
      <x:c r="S181" s="20" t="n">
        <x:v>2022</x:v>
      </x:c>
      <x:c r="T181" s="20" t="n">
        <x:v>4</x:v>
      </x:c>
      <x:c r="U181" s="7" t="str">
        <x:v>年度・年度末</x:v>
      </x:c>
      <x:c r="V181" s="18"/>
      <x:c r="W181" s="7" t="str">
        <x:v>SRC-c0a5f9cabe</x:v>
      </x:c>
      <x:c r="X181" s="7" t="str"/>
      <x:c r="Y181" s="20" t="n">
        <x:v>174</x:v>
      </x:c>
      <x:c r="Z181" s="7" t="str"/>
      <x:c r="AA181" s="7" t="str"/>
      <x:c r="AB181" s="7" t="str"/>
    </x:row>
    <x:row r="182" ht="68.80000305175781" customHeight="1">
      <x:c r="A182" s="7" t="str">
        <x:v>2022年度</x:v>
      </x:c>
      <x:c r="B182" s="7" t="str">
        <x:v>年度</x:v>
      </x:c>
      <x:c r="C182" s="7" t="str">
        <x:v>DIG-C12</x:v>
      </x:c>
      <x:c r="D182" s="7" t="str">
        <x:v>吉備中央町交通DX実装プロジェクト</x:v>
      </x:c>
      <x:c r="E182" s="7" t="str">
        <x:v>町内交通利用2,493人、岡山市向け316人（検証シート基準値）。</x:v>
      </x:c>
      <x:c r="F182" s="7" t="str">
        <x:v>基準値確認</x:v>
      </x:c>
      <x:c r="G182" s="7" t="str">
        <x:v>地域事例</x:v>
      </x:c>
      <x:c r="H182" s="7" t="str">
        <x:v>内閣官房・内閣府地方創生
デジタル庁（基盤・実装支援）
地方自治体
内閣府・総務省・デジタル庁等</x:v>
      </x:c>
      <x:c r="I182" s="7" t="str">
        <x:v>岡山県吉備中央町</x:v>
      </x:c>
      <x:c r="J182" s="7" t="str">
        <x:v>DIG-P12</x:v>
      </x:c>
      <x:c r="K182" s="18"/>
      <x:c r="L182" s="7" t="str">
        <x:v>2025（R6実績）</x:v>
      </x:c>
      <x:c r="M182" s="18" t="n">
        <x:v>46326</x:v>
      </x:c>
      <x:c r="N182" s="7" t="str">
        <x:v>S323</x:v>
      </x:c>
      <x:c r="O182" s="7" t="str">
        <x:v>https://www.town.kibichuo.lg.jp/uploaded/attachment/12092.pdf</x:v>
      </x:c>
      <x:c r="P182" s="7" t="str"/>
      <x:c r="Q182" s="7" t="str">
        <x:v>EV-1d670c6eda55</x:v>
      </x:c>
      <x:c r="R182" s="7" t="str">
        <x:v>DIG-C12</x:v>
      </x:c>
      <x:c r="S182" s="20" t="n">
        <x:v>2022</x:v>
      </x:c>
      <x:c r="T182" s="20" t="n">
        <x:v>4</x:v>
      </x:c>
      <x:c r="U182" s="7" t="str">
        <x:v>年度・年度末</x:v>
      </x:c>
      <x:c r="V182" s="18"/>
      <x:c r="W182" s="7" t="str">
        <x:v>SRC-01a2148fd1</x:v>
      </x:c>
      <x:c r="X182" s="7" t="str"/>
      <x:c r="Y182" s="20" t="n">
        <x:v>175</x:v>
      </x:c>
      <x:c r="Z182" s="7" t="str"/>
      <x:c r="AA182" s="7" t="str"/>
      <x:c r="AB182" s="7" t="str"/>
    </x:row>
    <x:row r="183" ht="30" customHeight="1">
      <x:c r="A183" s="7" t="str">
        <x:v>2022年度</x:v>
      </x:c>
      <x:c r="B183" s="7" t="str">
        <x:v>年度</x:v>
      </x:c>
      <x:c r="C183" s="7" t="str">
        <x:v>ENV-C14</x:v>
      </x:c>
      <x:c r="D183" s="7" t="str">
        <x:v>しかおい水素ファーム</x:v>
      </x:c>
      <x:c r="E183" s="7" t="str">
        <x:v>自治体設備と民間運営で事業化</x:v>
      </x:c>
      <x:c r="F183" s="7" t="str">
        <x:v>商用移行</x:v>
      </x:c>
      <x:c r="G183" s="7" t="str">
        <x:v>地域事例</x:v>
      </x:c>
      <x:c r="H183" s="7" t="str">
        <x:v>環境省</x:v>
      </x:c>
      <x:c r="I183" s="7" t="str">
        <x:v>北海道鹿追町・帯広等</x:v>
      </x:c>
      <x:c r="J183" s="7" t="str">
        <x:v>ENV-P10</x:v>
      </x:c>
      <x:c r="K183" s="18"/>
      <x:c r="L183" s="7" t="str">
        <x:v>2022年度以降資料</x:v>
      </x:c>
      <x:c r="M183" s="18" t="n">
        <x:v>46326</x:v>
      </x:c>
      <x:c r="N183" s="7" t="str">
        <x:v>S012</x:v>
      </x:c>
      <x:c r="O183" s="7" t="str">
        <x:v>https://hokkaido.env.go.jp/content/000066911.pdf</x:v>
      </x:c>
      <x:c r="P183" s="7" t="str"/>
      <x:c r="Q183" s="7" t="str">
        <x:v>EV-50dde5c48310</x:v>
      </x:c>
      <x:c r="R183" s="7" t="str">
        <x:v>ENV-C14</x:v>
      </x:c>
      <x:c r="S183" s="20" t="n">
        <x:v>2022</x:v>
      </x:c>
      <x:c r="T183" s="20" t="n">
        <x:v>4</x:v>
      </x:c>
      <x:c r="U183" s="7" t="str">
        <x:v>年度・年度末</x:v>
      </x:c>
      <x:c r="V183" s="18"/>
      <x:c r="W183" s="7" t="str">
        <x:v>SRC-9c34acf210</x:v>
      </x:c>
      <x:c r="X183" s="7" t="str"/>
      <x:c r="Y183" s="20" t="n">
        <x:v>176</x:v>
      </x:c>
      <x:c r="Z183" s="7" t="str"/>
      <x:c r="AA183" s="7" t="str"/>
      <x:c r="AB183" s="7" t="str"/>
    </x:row>
    <x:row r="184" ht="40.400001525878906" customHeight="1">
      <x:c r="A184" s="7" t="str">
        <x:v>2022年度</x:v>
      </x:c>
      <x:c r="B184" s="7" t="str">
        <x:v>年度</x:v>
      </x:c>
      <x:c r="C184" s="7" t="str">
        <x:v>ENV-C06</x:v>
      </x:c>
      <x:c r="D184" s="7" t="str">
        <x:v>由布院ノルク</x:v>
      </x:c>
      <x:c r="E184" s="7" t="str">
        <x:v>観光/P&amp;R中心の活用へ（後年議会説明）</x:v>
      </x:c>
      <x:c r="F184" s="7" t="str">
        <x:v>重点変更</x:v>
      </x:c>
      <x:c r="G184" s="7" t="str">
        <x:v>地域事例</x:v>
      </x:c>
      <x:c r="H184" s="7" t="str">
        <x:v>環境省</x:v>
      </x:c>
      <x:c r="I184" s="7" t="str">
        <x:v>大分県由布市</x:v>
      </x:c>
      <x:c r="J184" s="7" t="str">
        <x:v>ENV-P02</x:v>
      </x:c>
      <x:c r="K184" s="18" t="n">
        <x:v>45267</x:v>
      </x:c>
      <x:c r="L184" s="7" t="str">
        <x:v>2023-12-07</x:v>
      </x:c>
      <x:c r="M184" s="18" t="n">
        <x:v>46326</x:v>
      </x:c>
      <x:c r="N184" s="7" t="str">
        <x:v>S125</x:v>
      </x:c>
      <x:c r="O184" s="7" t="str">
        <x:v>https://www.city.yufu.oita.jp/uploads/files/2024/02/r5-12-7dai4kaiteireikaikaigiroku.pdf</x:v>
      </x:c>
      <x:c r="P184" s="7" t="str"/>
      <x:c r="Q184" s="7" t="str">
        <x:v>EV-5137b92d7a71</x:v>
      </x:c>
      <x:c r="R184" s="7" t="str">
        <x:v>ENV-C06</x:v>
      </x:c>
      <x:c r="S184" s="20" t="n">
        <x:v>2022</x:v>
      </x:c>
      <x:c r="T184" s="20" t="n">
        <x:v>4</x:v>
      </x:c>
      <x:c r="U184" s="7" t="str">
        <x:v>年度・年度末</x:v>
      </x:c>
      <x:c r="V184" s="18"/>
      <x:c r="W184" s="7" t="str">
        <x:v>SRC-052b9b1fa9</x:v>
      </x:c>
      <x:c r="X184" s="7" t="str"/>
      <x:c r="Y184" s="20" t="n">
        <x:v>177</x:v>
      </x:c>
      <x:c r="Z184" s="7" t="str"/>
      <x:c r="AA184" s="7" t="str"/>
      <x:c r="AB184" s="7" t="str"/>
    </x:row>
    <x:row r="185" ht="30" customHeight="1">
      <x:c r="A185" s="7" t="str">
        <x:v>2022年度</x:v>
      </x:c>
      <x:c r="B185" s="7" t="str">
        <x:v>年度</x:v>
      </x:c>
      <x:c r="C185" s="7" t="str">
        <x:v>meti_osaka_air</x:v>
      </x:c>
      <x:c r="D185" s="7" t="str">
        <x:v>大阪・関西万博の空域管理</x:v>
      </x:c>
      <x:c r="E185" s="7" t="str">
        <x:v>ReAMo開始</x:v>
      </x:c>
      <x:c r="F185" s="7" t="str">
        <x:v>開発</x:v>
      </x:c>
      <x:c r="G185" s="7" t="str">
        <x:v>地域事例</x:v>
      </x:c>
      <x:c r="H185" s="7" t="str">
        <x:v>経済産業省</x:v>
      </x:c>
      <x:c r="I185" s="7" t="str">
        <x:v>大阪府大阪市・万博会場周辺</x:v>
      </x:c>
      <x:c r="J185" s="7" t="str">
        <x:v>reamo</x:v>
      </x:c>
      <x:c r="K185" s="18" t="n">
        <x:v>46162</x:v>
      </x:c>
      <x:c r="L185" s="7" t="str">
        <x:v>2026-05-20</x:v>
      </x:c>
      <x:c r="M185" s="18" t="n">
        <x:v>46326</x:v>
      </x:c>
      <x:c r="N185" s="7" t="str">
        <x:v>S286</x:v>
      </x:c>
      <x:c r="O185" s="7" t="str">
        <x:v>https://www.nedo.go.jp/activities/ZZJP2_100181.html</x:v>
      </x:c>
      <x:c r="P185" s="7" t="str"/>
      <x:c r="Q185" s="7" t="str">
        <x:v>EV-51a9b28571e3</x:v>
      </x:c>
      <x:c r="R185" s="7" t="str">
        <x:v>meti_osaka_air</x:v>
      </x:c>
      <x:c r="S185" s="20" t="n">
        <x:v>2022</x:v>
      </x:c>
      <x:c r="T185" s="20" t="n">
        <x:v>4</x:v>
      </x:c>
      <x:c r="U185" s="7" t="str">
        <x:v>年度・年度末</x:v>
      </x:c>
      <x:c r="V185" s="18"/>
      <x:c r="W185" s="7" t="str">
        <x:v>SRC-1b84e22863</x:v>
      </x:c>
      <x:c r="X185" s="7" t="str"/>
      <x:c r="Y185" s="20" t="n">
        <x:v>178</x:v>
      </x:c>
      <x:c r="Z185" s="7" t="str"/>
      <x:c r="AA185" s="7" t="str"/>
      <x:c r="AB185" s="7" t="str"/>
    </x:row>
    <x:row r="186" ht="40.400001525878906" customHeight="1">
      <x:c r="A186" s="7" t="str">
        <x:v>2022年度</x:v>
      </x:c>
      <x:c r="B186" s="7" t="str">
        <x:v>年度</x:v>
      </x:c>
      <x:c r="C186" s="7" t="str">
        <x:v>mlit_hitachiota</x:v>
      </x:c>
      <x:c r="D186" s="7" t="str">
        <x:v>道の駅ひたちおおた 自動運転・貨客混載</x:v>
      </x:c>
      <x:c r="E186" s="7" t="str">
        <x:v>未来技術連携事業に選定</x:v>
      </x:c>
      <x:c r="F186" s="7" t="str">
        <x:v>採択</x:v>
      </x:c>
      <x:c r="G186" s="7" t="str">
        <x:v>地域事例</x:v>
      </x:c>
      <x:c r="H186" s="7" t="str">
        <x:v>国土交通省関東地方整備局
国土交通省</x:v>
      </x:c>
      <x:c r="I186" s="7" t="str">
        <x:v>茨城県常陸太田市</x:v>
      </x:c>
      <x:c r="J186" s="7" t="str"/>
      <x:c r="K186" s="18" t="n">
        <x:v>45644</x:v>
      </x:c>
      <x:c r="L186" s="7" t="str">
        <x:v>2024-12-18</x:v>
      </x:c>
      <x:c r="M186" s="18" t="n">
        <x:v>46326</x:v>
      </x:c>
      <x:c r="N186" s="7" t="str">
        <x:v>S253</x:v>
      </x:c>
      <x:c r="O186" s="7" t="str">
        <x:v>https://www.mlit.go.jp/road/ITS/j-html/automatic-driving-service_r4.html</x:v>
      </x:c>
      <x:c r="P186" s="7" t="str"/>
      <x:c r="Q186" s="7" t="str">
        <x:v>EV-652d7751797a</x:v>
      </x:c>
      <x:c r="R186" s="7" t="str">
        <x:v>mlit_hitachiota</x:v>
      </x:c>
      <x:c r="S186" s="20" t="n">
        <x:v>2022</x:v>
      </x:c>
      <x:c r="T186" s="20" t="n">
        <x:v>4</x:v>
      </x:c>
      <x:c r="U186" s="7" t="str">
        <x:v>年度・年度末</x:v>
      </x:c>
      <x:c r="V186" s="18"/>
      <x:c r="W186" s="7" t="str">
        <x:v>SRC-e7c4fe10e7</x:v>
      </x:c>
      <x:c r="X186" s="7" t="str"/>
      <x:c r="Y186" s="20" t="n">
        <x:v>179</x:v>
      </x:c>
      <x:c r="Z186" s="7" t="str"/>
      <x:c r="AA186" s="7" t="str"/>
      <x:c r="AB186" s="7" t="str"/>
    </x:row>
    <x:row r="187" ht="111.4000015258789" customHeight="1">
      <x:c r="A187" s="7" t="str">
        <x:v>2022年度</x:v>
      </x:c>
      <x:c r="B187" s="7" t="str">
        <x:v>年度</x:v>
      </x:c>
      <x:c r="C187" s="7" t="str">
        <x:v>DIG-C01</x:v>
      </x:c>
      <x:c r="D187" s="7" t="str">
        <x:v>東京臨海部SIP自動運転実証</x:v>
      </x:c>
      <x:c r="E187" s="7" t="str">
        <x:v>研究開発計画でV2I/V2N、信号・車線別道路・降雨・緊急車情報を検証。</x:v>
      </x:c>
      <x:c r="F187" s="7" t="str">
        <x:v>事業最終年実証</x:v>
      </x:c>
      <x:c r="G187" s="7" t="str">
        <x:v>地域事例</x:v>
      </x:c>
      <x:c r="H187" s="7" t="str">
        <x:v>内閣府
警察庁等
内閣府CSTI
NEDO
警察庁・総務省・経済産業省・国土交通省
関係省庁
内閣府・総務省・デジタル庁等</x:v>
      </x:c>
      <x:c r="I187" s="7" t="str">
        <x:v>東京都臨海副都心・羽田・首都高速</x:v>
      </x:c>
      <x:c r="J187" s="7" t="str">
        <x:v>DIG-P02
DIG-P03</x:v>
      </x:c>
      <x:c r="K187" s="18" t="str">
        <x:v>2022</x:v>
      </x:c>
      <x:c r="L187" s="7" t="str">
        <x:v>2022</x:v>
      </x:c>
      <x:c r="M187" s="18" t="n">
        <x:v>46326</x:v>
      </x:c>
      <x:c r="N187" s="7" t="str">
        <x:v>S315</x:v>
      </x:c>
      <x:c r="O187" s="7" t="str">
        <x:v>https://www.sip-adus.go.jp/sip/file/sip_2022_plan_s.pdf</x:v>
      </x:c>
      <x:c r="P187" s="7" t="str"/>
      <x:c r="Q187" s="7" t="str">
        <x:v>EV-865cd708d48c</x:v>
      </x:c>
      <x:c r="R187" s="7" t="str">
        <x:v>DIG-C01</x:v>
      </x:c>
      <x:c r="S187" s="20" t="n">
        <x:v>2022</x:v>
      </x:c>
      <x:c r="T187" s="20" t="n">
        <x:v>4</x:v>
      </x:c>
      <x:c r="U187" s="7" t="str">
        <x:v>年度・年度末</x:v>
      </x:c>
      <x:c r="V187" s="18"/>
      <x:c r="W187" s="7" t="str">
        <x:v>SRC-60de26032e</x:v>
      </x:c>
      <x:c r="X187" s="7" t="str"/>
      <x:c r="Y187" s="20" t="n">
        <x:v>180</x:v>
      </x:c>
      <x:c r="Z187" s="7" t="str"/>
      <x:c r="AA187" s="7" t="str"/>
      <x:c r="AB187" s="7" t="str"/>
    </x:row>
    <x:row r="188" ht="54.599998474121094" customHeight="1">
      <x:c r="A188" s="7" t="str">
        <x:v>2022年度</x:v>
      </x:c>
      <x:c r="B188" s="7" t="str">
        <x:v>年度</x:v>
      </x:c>
      <x:c r="C188" s="7" t="str">
        <x:v>DIG-P03</x:v>
      </x:c>
      <x:c r="D188" s="7" t="str">
        <x:v>SIP第2期 自動運転（システムとサービスの拡張）</x:v>
      </x:c>
      <x:c r="E188" s="7" t="str">
        <x:v>交通情報、データ流通、安全性評価等の研究開発を最終年度計画に記載。</x:v>
      </x:c>
      <x:c r="F188" s="7" t="str">
        <x:v>最終年度</x:v>
      </x:c>
      <x:c r="G188" s="7" t="str">
        <x:v>政策制度</x:v>
      </x:c>
      <x:c r="H188" s="7" t="str">
        <x:v>内閣府CSTI
NEDO
関係省庁</x:v>
      </x:c>
      <x:c r="I188" s="7" t="str"/>
      <x:c r="J188" s="7" t="str">
        <x:v>DIG-P03</x:v>
      </x:c>
      <x:c r="K188" s="18" t="str">
        <x:v>2022</x:v>
      </x:c>
      <x:c r="L188" s="7" t="str">
        <x:v>2022</x:v>
      </x:c>
      <x:c r="M188" s="18" t="n">
        <x:v>46326</x:v>
      </x:c>
      <x:c r="N188" s="7" t="str">
        <x:v>S315</x:v>
      </x:c>
      <x:c r="O188" s="7" t="str">
        <x:v>https://www.sip-adus.go.jp/sip/file/sip_2022_plan_s.pdf</x:v>
      </x:c>
      <x:c r="P188" s="7" t="str"/>
      <x:c r="Q188" s="7" t="str">
        <x:v>EV-9a58ccd22a0e</x:v>
      </x:c>
      <x:c r="R188" s="7" t="str">
        <x:v>DIG-P03</x:v>
      </x:c>
      <x:c r="S188" s="20" t="n">
        <x:v>2022</x:v>
      </x:c>
      <x:c r="T188" s="20" t="n">
        <x:v>4</x:v>
      </x:c>
      <x:c r="U188" s="7" t="str">
        <x:v>年度・年度末</x:v>
      </x:c>
      <x:c r="V188" s="18"/>
      <x:c r="W188" s="7" t="str">
        <x:v>SRC-60de26032e</x:v>
      </x:c>
      <x:c r="X188" s="7" t="str"/>
      <x:c r="Y188" s="20" t="n">
        <x:v>181</x:v>
      </x:c>
      <x:c r="Z188" s="7" t="str"/>
      <x:c r="AA188" s="7" t="str"/>
      <x:c r="AB188" s="7" t="str"/>
    </x:row>
    <x:row r="189" ht="30" customHeight="1">
      <x:c r="A189" s="7" t="str">
        <x:v>2022年4月</x:v>
      </x:c>
      <x:c r="B189" s="7" t="str">
        <x:v>月</x:v>
      </x:c>
      <x:c r="C189" s="7" t="str">
        <x:v>ENV-C12</x:v>
      </x:c>
      <x:c r="D189" s="7" t="str">
        <x:v>乗鞍高原・脱炭素先行地域の辞退</x:v>
      </x:c>
      <x:c r="E189" s="7" t="str">
        <x:v>脱炭素先行地域選定</x:v>
      </x:c>
      <x:c r="F189" s="7" t="str">
        <x:v>採択</x:v>
      </x:c>
      <x:c r="G189" s="7" t="str">
        <x:v>地域事例</x:v>
      </x:c>
      <x:c r="H189" s="7" t="str">
        <x:v>環境省</x:v>
      </x:c>
      <x:c r="I189" s="7" t="str">
        <x:v>長野県松本市</x:v>
      </x:c>
      <x:c r="J189" s="7" t="str">
        <x:v>ENV-P05</x:v>
      </x:c>
      <x:c r="K189" s="18" t="n">
        <x:v>44678</x:v>
      </x:c>
      <x:c r="L189" s="7" t="str">
        <x:v>2022-04-27</x:v>
      </x:c>
      <x:c r="M189" s="18" t="n">
        <x:v>46326</x:v>
      </x:c>
      <x:c r="N189" s="7" t="str">
        <x:v>S086</x:v>
      </x:c>
      <x:c r="O189" s="7" t="str">
        <x:v>https://www.city.matsumoto.nagano.jp/soshiki/51/76758.html</x:v>
      </x:c>
      <x:c r="P189" s="7" t="str"/>
      <x:c r="Q189" s="7" t="str">
        <x:v>EV-abeab21a8835</x:v>
      </x:c>
      <x:c r="R189" s="7" t="str">
        <x:v>ENV-C12</x:v>
      </x:c>
      <x:c r="S189" s="20" t="n">
        <x:v>2022</x:v>
      </x:c>
      <x:c r="T189" s="20" t="n">
        <x:v>4</x:v>
      </x:c>
      <x:c r="U189" s="7" t="str">
        <x:v>暦年・暦月</x:v>
      </x:c>
      <x:c r="V189" s="18"/>
      <x:c r="W189" s="7" t="str">
        <x:v>SRC-7a5564c4a6</x:v>
      </x:c>
      <x:c r="X189" s="7" t="str"/>
      <x:c r="Y189" s="20" t="n">
        <x:v>182</x:v>
      </x:c>
      <x:c r="Z189" s="7" t="str"/>
      <x:c r="AA189" s="7" t="str"/>
      <x:c r="AB189" s="7" t="str"/>
    </x:row>
    <x:row r="190" ht="30" customHeight="1">
      <x:c r="A190" s="7" t="str">
        <x:v>2022年度</x:v>
      </x:c>
      <x:c r="B190" s="7" t="str">
        <x:v>年度</x:v>
      </x:c>
      <x:c r="C190" s="7" t="str">
        <x:v>V-C13</x:v>
      </x:c>
      <x:c r="D190" s="7" t="str">
        <x:v>熊本5社共同経営</x:v>
      </x:c>
      <x:c r="E190" s="7" t="str">
        <x:v>共同経営なしモデル比で約1.10億円の収支改善と推計</x:v>
      </x:c>
      <x:c r="F190" s="7" t="str">
        <x:v>改善推計</x:v>
      </x:c>
      <x:c r="G190" s="7" t="str">
        <x:v>地域事例</x:v>
      </x:c>
      <x:c r="H190" s="7" t="str">
        <x:v>横断検証（個別所管は資料参照）</x:v>
      </x:c>
      <x:c r="I190" s="7" t="str">
        <x:v>熊本県熊本市</x:v>
      </x:c>
      <x:c r="J190" s="7" t="str"/>
      <x:c r="K190" s="18" t="str">
        <x:v>2024-03</x:v>
      </x:c>
      <x:c r="L190" s="7" t="str">
        <x:v>2024-03</x:v>
      </x:c>
      <x:c r="M190" s="18" t="n">
        <x:v>46326</x:v>
      </x:c>
      <x:c r="N190" s="7" t="str">
        <x:v>S341</x:v>
      </x:c>
      <x:c r="O190" s="7" t="str">
        <x:v>https://wwwtb.mlit.go.jp/kyushu/content/000324419.pdf</x:v>
      </x:c>
      <x:c r="P190" s="7" t="str"/>
      <x:c r="Q190" s="7" t="str">
        <x:v>EV-aec878d4da42</x:v>
      </x:c>
      <x:c r="R190" s="7" t="str">
        <x:v>V-C13</x:v>
      </x:c>
      <x:c r="S190" s="20" t="n">
        <x:v>2022</x:v>
      </x:c>
      <x:c r="T190" s="20" t="n">
        <x:v>4</x:v>
      </x:c>
      <x:c r="U190" s="7" t="str">
        <x:v>年度・年度末</x:v>
      </x:c>
      <x:c r="V190" s="18"/>
      <x:c r="W190" s="7" t="str">
        <x:v>SRC-96a544d338</x:v>
      </x:c>
      <x:c r="X190" s="7" t="str"/>
      <x:c r="Y190" s="20" t="n">
        <x:v>183</x:v>
      </x:c>
      <x:c r="Z190" s="7" t="str"/>
      <x:c r="AA190" s="7" t="str"/>
      <x:c r="AB190" s="7" t="str"/>
    </x:row>
    <x:row r="191" ht="30" customHeight="1">
      <x:c r="A191" s="7" t="str">
        <x:v>2022年度</x:v>
      </x:c>
      <x:c r="B191" s="7" t="str">
        <x:v>年度</x:v>
      </x:c>
      <x:c r="C191" s="7" t="str">
        <x:v>ENV-C01</x:v>
      </x:c>
      <x:c r="D191" s="7" t="str">
        <x:v>南花台クルクル</x:v>
      </x:c>
      <x:c r="E191" s="7" t="str">
        <x:v>環境省3年間の実証後、地域主体による市の試行運行を継続</x:v>
      </x:c>
      <x:c r="F191" s="7" t="str">
        <x:v>試行継続</x:v>
      </x:c>
      <x:c r="G191" s="7" t="str">
        <x:v>地域事例</x:v>
      </x:c>
      <x:c r="H191" s="7" t="str">
        <x:v>環境省</x:v>
      </x:c>
      <x:c r="I191" s="7" t="str">
        <x:v>大阪府河内長野市</x:v>
      </x:c>
      <x:c r="J191" s="7" t="str">
        <x:v>ENV-P02</x:v>
      </x:c>
      <x:c r="K191" s="18" t="n">
        <x:v>45180</x:v>
      </x:c>
      <x:c r="L191" s="7" t="str">
        <x:v>2023-09-11</x:v>
      </x:c>
      <x:c r="M191" s="18" t="n">
        <x:v>46326</x:v>
      </x:c>
      <x:c r="N191" s="7" t="str">
        <x:v>S074</x:v>
      </x:c>
      <x:c r="O191" s="7" t="str">
        <x:v>https://www.city.kawachinagano.lg.jp/soshiki/2/86194.html</x:v>
      </x:c>
      <x:c r="P191" s="7" t="str"/>
      <x:c r="Q191" s="7" t="str">
        <x:v>EV-beb06453a9a0</x:v>
      </x:c>
      <x:c r="R191" s="7" t="str">
        <x:v>ENV-C01</x:v>
      </x:c>
      <x:c r="S191" s="20" t="n">
        <x:v>2022</x:v>
      </x:c>
      <x:c r="T191" s="20" t="n">
        <x:v>4</x:v>
      </x:c>
      <x:c r="U191" s="7" t="str">
        <x:v>年度・年度末</x:v>
      </x:c>
      <x:c r="V191" s="18"/>
      <x:c r="W191" s="7" t="str">
        <x:v>SRC-7c332e66bc</x:v>
      </x:c>
      <x:c r="X191" s="7" t="str"/>
      <x:c r="Y191" s="20" t="n">
        <x:v>184</x:v>
      </x:c>
      <x:c r="Z191" s="7" t="str"/>
      <x:c r="AA191" s="7" t="str"/>
      <x:c r="AB191" s="7" t="str"/>
    </x:row>
    <x:row r="192" ht="54.599998474121094" customHeight="1">
      <x:c r="A192" s="7" t="str">
        <x:v>2022年度</x:v>
      </x:c>
      <x:c r="B192" s="7" t="str">
        <x:v>年度</x:v>
      </x:c>
      <x:c r="C192" s="7" t="str">
        <x:v>meti_mitoyo</x:v>
      </x:c>
      <x:c r="D192" s="7" t="str">
        <x:v>ゴイッショみとよ共同送迎</x:v>
      </x:c>
      <x:c r="E192" s="7" t="str">
        <x:v>登録51人・5,925回・事業費1,187万円と報告</x:v>
      </x:c>
      <x:c r="F192" s="7" t="str">
        <x:v>運行実績</x:v>
      </x:c>
      <x:c r="G192" s="7" t="str">
        <x:v>地域事例</x:v>
      </x:c>
      <x:c r="H192" s="7" t="str">
        <x:v>経済産業省</x:v>
      </x:c>
      <x:c r="I192" s="7" t="str">
        <x:v>香川県三豊市</x:v>
      </x:c>
      <x:c r="J192" s="7" t="str">
        <x:v>smc</x:v>
      </x:c>
      <x:c r="K192" s="18"/>
      <x:c r="L192" s="7" t="str"/>
      <x:c r="M192" s="18" t="n">
        <x:v>46326</x:v>
      </x:c>
      <x:c r="N192" s="7" t="str">
        <x:v>S217</x:v>
      </x:c>
      <x:c r="O192" s="7" t="str">
        <x:v>https://www.mitoyoshakyo.or.jp/archives/014/202306/%E4%BB%A4%E5%92%8C%EF%BC%94%E5%B9%B4%E5%BA%A6%E4%BA%8B%E6%A5%AD%E5%A0%B1%E5%91%8A%E6%9B%B8.pdf</x:v>
      </x:c>
      <x:c r="P192" s="7" t="str"/>
      <x:c r="Q192" s="7" t="str">
        <x:v>EV-c6e08999e9d0</x:v>
      </x:c>
      <x:c r="R192" s="7" t="str">
        <x:v>meti_mitoyo</x:v>
      </x:c>
      <x:c r="S192" s="20" t="n">
        <x:v>2022</x:v>
      </x:c>
      <x:c r="T192" s="20" t="n">
        <x:v>4</x:v>
      </x:c>
      <x:c r="U192" s="7" t="str">
        <x:v>年度・年度末</x:v>
      </x:c>
      <x:c r="V192" s="18"/>
      <x:c r="W192" s="7" t="str">
        <x:v>SRC-38a27b55b4</x:v>
      </x:c>
      <x:c r="X192" s="7" t="str"/>
      <x:c r="Y192" s="20" t="n">
        <x:v>185</x:v>
      </x:c>
      <x:c r="Z192" s="7" t="str"/>
      <x:c r="AA192" s="7" t="str"/>
      <x:c r="AB192" s="7" t="str"/>
    </x:row>
    <x:row r="193" ht="30" customHeight="1">
      <x:c r="A193" s="7" t="str">
        <x:v>2022年度</x:v>
      </x:c>
      <x:c r="B193" s="7" t="str">
        <x:v>年度</x:v>
      </x:c>
      <x:c r="C193" s="7" t="str">
        <x:v>reamo</x:v>
      </x:c>
      <x:c r="D193" s="7" t="str">
        <x:v>ReAMo：次世代空モビリティの社会実装</x:v>
      </x:c>
      <x:c r="E193" s="7" t="str">
        <x:v>NEDOのReAMoが開始。ドローンや次世代空モビリティの性能評価と空域協調を2026年度まで検証。</x:v>
      </x:c>
      <x:c r="F193" s="7" t="str">
        <x:v>事業開始</x:v>
      </x:c>
      <x:c r="G193" s="7" t="str">
        <x:v>政策制度</x:v>
      </x:c>
      <x:c r="H193" s="7" t="str">
        <x:v>経済産業省</x:v>
      </x:c>
      <x:c r="I193" s="7" t="str"/>
      <x:c r="J193" s="7" t="str">
        <x:v>reamo</x:v>
      </x:c>
      <x:c r="K193" s="18" t="n">
        <x:v>46162</x:v>
      </x:c>
      <x:c r="L193" s="7" t="str">
        <x:v>2026-05-20</x:v>
      </x:c>
      <x:c r="M193" s="18" t="n">
        <x:v>46326</x:v>
      </x:c>
      <x:c r="N193" s="7" t="str">
        <x:v>S286</x:v>
      </x:c>
      <x:c r="O193" s="7" t="str">
        <x:v>https://www.nedo.go.jp/activities/ZZJP2_100181.html</x:v>
      </x:c>
      <x:c r="P193" s="7" t="str"/>
      <x:c r="Q193" s="7" t="str">
        <x:v>EV-d1f71f23340a</x:v>
      </x:c>
      <x:c r="R193" s="7" t="str">
        <x:v>integrated</x:v>
      </x:c>
      <x:c r="S193" s="20" t="n">
        <x:v>2022</x:v>
      </x:c>
      <x:c r="T193" s="20" t="n">
        <x:v>4</x:v>
      </x:c>
      <x:c r="U193" s="7" t="str">
        <x:v>年度・年度末</x:v>
      </x:c>
      <x:c r="V193" s="18"/>
      <x:c r="W193" s="7" t="str">
        <x:v>SRC-1b84e22863</x:v>
      </x:c>
      <x:c r="X193" s="7" t="str"/>
      <x:c r="Y193" s="20" t="n">
        <x:v>186</x:v>
      </x:c>
      <x:c r="Z193" s="7" t="str"/>
      <x:c r="AA193" s="7" t="str"/>
      <x:c r="AB193" s="7" t="str"/>
    </x:row>
    <x:row r="194" ht="40.400001525878906" customHeight="1">
      <x:c r="A194" s="7" t="str">
        <x:v>2022年度</x:v>
      </x:c>
      <x:c r="B194" s="7" t="str">
        <x:v>年度</x:v>
      </x:c>
      <x:c r="C194" s="7" t="str">
        <x:v>ENV-C07</x:v>
      </x:c>
      <x:c r="D194" s="7" t="str">
        <x:v>地域再エネEVシェア eemo・公用利用</x:v>
      </x:c>
      <x:c r="E194" s="7" t="str">
        <x:v>重点対策加速化との接続</x:v>
      </x:c>
      <x:c r="F194" s="7" t="str">
        <x:v>拡張</x:v>
      </x:c>
      <x:c r="G194" s="7" t="str">
        <x:v>地域事例</x:v>
      </x:c>
      <x:c r="H194" s="7" t="str">
        <x:v>環境省</x:v>
      </x:c>
      <x:c r="I194" s="7" t="str">
        <x:v>神奈川県小田原市</x:v>
      </x:c>
      <x:c r="J194" s="7" t="str"/>
      <x:c r="K194" s="18"/>
      <x:c r="L194" s="7" t="str"/>
      <x:c r="M194" s="18" t="n">
        <x:v>46326</x:v>
      </x:c>
      <x:c r="N194" s="7" t="str">
        <x:v>S096</x:v>
      </x:c>
      <x:c r="O194" s="7" t="str">
        <x:v>https://www.city.odawara.kanagawa.jp/field/envi/energy/electric_vehicle/ki-20200148.html</x:v>
      </x:c>
      <x:c r="P194" s="7" t="str"/>
      <x:c r="Q194" s="7" t="str">
        <x:v>EV-d2b966203647</x:v>
      </x:c>
      <x:c r="R194" s="7" t="str">
        <x:v>ENV-C07</x:v>
      </x:c>
      <x:c r="S194" s="20" t="n">
        <x:v>2022</x:v>
      </x:c>
      <x:c r="T194" s="20" t="n">
        <x:v>4</x:v>
      </x:c>
      <x:c r="U194" s="7" t="str">
        <x:v>年度・年度末</x:v>
      </x:c>
      <x:c r="V194" s="18"/>
      <x:c r="W194" s="7" t="str">
        <x:v>SRC-3f73b78582</x:v>
      </x:c>
      <x:c r="X194" s="7" t="str"/>
      <x:c r="Y194" s="20" t="n">
        <x:v>187</x:v>
      </x:c>
      <x:c r="Z194" s="7" t="str"/>
      <x:c r="AA194" s="7" t="str"/>
      <x:c r="AB194" s="7" t="str"/>
    </x:row>
    <x:row r="195" ht="40.400001525878906" customHeight="1">
      <x:c r="A195" s="7" t="str">
        <x:v>2022年4月1日</x:v>
      </x:c>
      <x:c r="B195" s="7" t="str">
        <x:v>日</x:v>
      </x:c>
      <x:c r="C195" s="7" t="str">
        <x:v>ENV-C08</x:v>
      </x:c>
      <x:c r="D195" s="7" t="str">
        <x:v>NIKKO MaaS</x:v>
      </x:c>
      <x:c r="E195" s="7" t="str">
        <x:v>日光エリア等の鉄道用電力再エネ化</x:v>
      </x:c>
      <x:c r="F195" s="7" t="str">
        <x:v>エネルギー変更</x:v>
      </x:c>
      <x:c r="G195" s="7" t="str">
        <x:v>地域事例</x:v>
      </x:c>
      <x:c r="H195" s="7" t="str">
        <x:v>環境省</x:v>
      </x:c>
      <x:c r="I195" s="7" t="str">
        <x:v>栃木県日光市</x:v>
      </x:c>
      <x:c r="J195" s="7" t="str">
        <x:v>ENV-P03</x:v>
      </x:c>
      <x:c r="K195" s="18" t="n">
        <x:v>44636</x:v>
      </x:c>
      <x:c r="L195" s="7" t="str">
        <x:v>2022-03-16</x:v>
      </x:c>
      <x:c r="M195" s="18" t="n">
        <x:v>46326</x:v>
      </x:c>
      <x:c r="N195" s="7" t="str">
        <x:v>S317</x:v>
      </x:c>
      <x:c r="O195" s="7" t="str">
        <x:v>https://www.tobu.co.jp/cms-pdf/releases/20220316114025nA56U6Qt2NKv0N7Br2sJLQ.pdf</x:v>
      </x:c>
      <x:c r="P195" s="7" t="str"/>
      <x:c r="Q195" s="7" t="str">
        <x:v>EV-f6e98a80eeb7</x:v>
      </x:c>
      <x:c r="R195" s="7" t="str">
        <x:v>ENV-C08</x:v>
      </x:c>
      <x:c r="S195" s="20" t="n">
        <x:v>2022</x:v>
      </x:c>
      <x:c r="T195" s="20" t="n">
        <x:v>4</x:v>
      </x:c>
      <x:c r="U195" s="7" t="str">
        <x:v>暦年・暦月</x:v>
      </x:c>
      <x:c r="V195" s="18" t="n">
        <x:v>44652</x:v>
      </x:c>
      <x:c r="W195" s="7" t="str">
        <x:v>SRC-b2232578e6</x:v>
      </x:c>
      <x:c r="X195" s="7" t="str"/>
      <x:c r="Y195" s="20" t="n">
        <x:v>188</x:v>
      </x:c>
      <x:c r="Z195" s="7" t="str"/>
      <x:c r="AA195" s="7" t="str"/>
      <x:c r="AB195" s="7" t="str"/>
    </x:row>
    <x:row r="196" ht="40.400001525878906" customHeight="1">
      <x:c r="A196" s="7" t="str">
        <x:v>2022年4月19日</x:v>
      </x:c>
      <x:c r="B196" s="7" t="str">
        <x:v>日</x:v>
      </x:c>
      <x:c r="C196" s="7" t="str">
        <x:v>batterygi</x:v>
      </x:c>
      <x:c r="D196" s="7" t="str">
        <x:v>GI基金：次世代蓄電池・次世代モーター</x:v>
      </x:c>
      <x:c r="E196" s="7" t="str">
        <x:v>NEDOがGI基金の次世代蓄電池 次世代モーター開発への着手を公表。2030年度までの計画であり量産達成ではない。</x:v>
      </x:c>
      <x:c r="F196" s="7" t="str">
        <x:v>着手公表</x:v>
      </x:c>
      <x:c r="G196" s="7" t="str">
        <x:v>政策制度</x:v>
      </x:c>
      <x:c r="H196" s="7" t="str">
        <x:v>経済産業省</x:v>
      </x:c>
      <x:c r="I196" s="7" t="str"/>
      <x:c r="J196" s="7" t="str">
        <x:v>batterygi</x:v>
      </x:c>
      <x:c r="K196" s="18" t="n">
        <x:v>44670</x:v>
      </x:c>
      <x:c r="L196" s="7" t="str">
        <x:v>2022-04-19</x:v>
      </x:c>
      <x:c r="M196" s="18" t="n">
        <x:v>46326</x:v>
      </x:c>
      <x:c r="N196" s="7" t="str">
        <x:v>S293</x:v>
      </x:c>
      <x:c r="O196" s="7" t="str">
        <x:v>https://www.nedo.go.jp/news/press/AA5_101535.html</x:v>
      </x:c>
      <x:c r="P196" s="7" t="str"/>
      <x:c r="Q196" s="7" t="str">
        <x:v>EV-6bab5fc13b44</x:v>
      </x:c>
      <x:c r="R196" s="7" t="str">
        <x:v>integrated</x:v>
      </x:c>
      <x:c r="S196" s="20" t="n">
        <x:v>2022</x:v>
      </x:c>
      <x:c r="T196" s="20" t="n">
        <x:v>4</x:v>
      </x:c>
      <x:c r="U196" s="7" t="str">
        <x:v>暦年・暦月</x:v>
      </x:c>
      <x:c r="V196" s="18" t="n">
        <x:v>44670</x:v>
      </x:c>
      <x:c r="W196" s="7" t="str">
        <x:v>SRC-ff48fc5edf</x:v>
      </x:c>
      <x:c r="X196" s="7" t="str"/>
      <x:c r="Y196" s="20" t="n">
        <x:v>189</x:v>
      </x:c>
      <x:c r="Z196" s="7" t="str"/>
      <x:c r="AA196" s="7" t="str"/>
      <x:c r="AB196" s="7" t="str"/>
    </x:row>
    <x:row r="197" ht="40.400001525878906" customHeight="1">
      <x:c r="A197" s="7" t="str">
        <x:v>2022年5月</x:v>
      </x:c>
      <x:c r="B197" s="7" t="str">
        <x:v>月</x:v>
      </x:c>
      <x:c r="C197" s="7" t="str">
        <x:v>meti_goto</x:v>
      </x:c>
      <x:c r="D197" s="7" t="str">
        <x:v>五島列島の医薬品ドローン</x:v>
      </x:c>
      <x:c r="E197" s="7" t="str">
        <x:v>固定翼L3定期医薬品配送</x:v>
      </x:c>
      <x:c r="F197" s="7" t="str">
        <x:v>実装</x:v>
      </x:c>
      <x:c r="G197" s="7" t="str">
        <x:v>地域事例</x:v>
      </x:c>
      <x:c r="H197" s="7" t="str">
        <x:v>経済産業省</x:v>
      </x:c>
      <x:c r="I197" s="7" t="str">
        <x:v>長崎県五島市・新上五島町等</x:v>
      </x:c>
      <x:c r="J197" s="7" t="str">
        <x:v>dress
reamo</x:v>
      </x:c>
      <x:c r="K197" s="18" t="n">
        <x:v>45698</x:v>
      </x:c>
      <x:c r="L197" s="7" t="str">
        <x:v>2025-02-10</x:v>
      </x:c>
      <x:c r="M197" s="18" t="n">
        <x:v>46326</x:v>
      </x:c>
      <x:c r="N197" s="7" t="str">
        <x:v>S326</x:v>
      </x:c>
      <x:c r="O197" s="7" t="str">
        <x:v>https://www.toyota-tsusho.com/english/press/detail/250210_006531.html</x:v>
      </x:c>
      <x:c r="P197" s="7" t="str"/>
      <x:c r="Q197" s="7" t="str">
        <x:v>EV-f3b41db95a8b</x:v>
      </x:c>
      <x:c r="R197" s="7" t="str">
        <x:v>meti_goto</x:v>
      </x:c>
      <x:c r="S197" s="20" t="n">
        <x:v>2022</x:v>
      </x:c>
      <x:c r="T197" s="20" t="n">
        <x:v>5</x:v>
      </x:c>
      <x:c r="U197" s="7" t="str">
        <x:v>暦年・暦月</x:v>
      </x:c>
      <x:c r="V197" s="18"/>
      <x:c r="W197" s="7" t="str">
        <x:v>SRC-097fc2e83c</x:v>
      </x:c>
      <x:c r="X197" s="7" t="str"/>
      <x:c r="Y197" s="20" t="n">
        <x:v>190</x:v>
      </x:c>
      <x:c r="Z197" s="7" t="str"/>
      <x:c r="AA197" s="7" t="str"/>
      <x:c r="AB197" s="7" t="str"/>
    </x:row>
    <x:row r="198" ht="40.400001525878906" customHeight="1">
      <x:c r="A198" s="7" t="str">
        <x:v>2022年6月6日</x:v>
      </x:c>
      <x:c r="B198" s="7" t="str">
        <x:v>日</x:v>
      </x:c>
      <x:c r="C198" s="7" t="str">
        <x:v>meti_mitoyo</x:v>
      </x:c>
      <x:c r="D198" s="7" t="str">
        <x:v>ゴイッショみとよ共同送迎</x:v>
      </x:c>
      <x:c r="E198" s="7" t="str">
        <x:v>社協主体、本山タクシー運行で本格化</x:v>
      </x:c>
      <x:c r="F198" s="7" t="str">
        <x:v>実装</x:v>
      </x:c>
      <x:c r="G198" s="7" t="str">
        <x:v>地域事例</x:v>
      </x:c>
      <x:c r="H198" s="7" t="str">
        <x:v>経済産業省</x:v>
      </x:c>
      <x:c r="I198" s="7" t="str">
        <x:v>香川県三豊市</x:v>
      </x:c>
      <x:c r="J198" s="7" t="str">
        <x:v>smc</x:v>
      </x:c>
      <x:c r="K198" s="18" t="n">
        <x:v>44718</x:v>
      </x:c>
      <x:c r="L198" s="7" t="str">
        <x:v>2022-06-06</x:v>
      </x:c>
      <x:c r="M198" s="18" t="n">
        <x:v>46326</x:v>
      </x:c>
      <x:c r="N198" s="7" t="str">
        <x:v>S091</x:v>
      </x:c>
      <x:c r="O198" s="7" t="str">
        <x:v>https://www.city.mitoyo.lg.jp/hotnews_old/reiwa4/202206hot/9757.html</x:v>
      </x:c>
      <x:c r="P198" s="7" t="str">
        <x:v>同一期間内の厳密な前後関係は日付精度により未確定</x:v>
      </x:c>
      <x:c r="Q198" s="7" t="str">
        <x:v>EV-02b9dd6dd81a</x:v>
      </x:c>
      <x:c r="R198" s="7" t="str">
        <x:v>meti_mitoyo</x:v>
      </x:c>
      <x:c r="S198" s="20" t="n">
        <x:v>2022</x:v>
      </x:c>
      <x:c r="T198" s="20" t="n">
        <x:v>6</x:v>
      </x:c>
      <x:c r="U198" s="7" t="str">
        <x:v>暦年・暦月</x:v>
      </x:c>
      <x:c r="V198" s="18" t="n">
        <x:v>44718</x:v>
      </x:c>
      <x:c r="W198" s="7" t="str">
        <x:v>SRC-e037e71a0a</x:v>
      </x:c>
      <x:c r="X198" s="7" t="str"/>
      <x:c r="Y198" s="20" t="n">
        <x:v>191</x:v>
      </x:c>
      <x:c r="Z198" s="7" t="str"/>
      <x:c r="AA198" s="7" t="str"/>
      <x:c r="AB198" s="7" t="str"/>
    </x:row>
    <x:row r="199" ht="30" customHeight="1">
      <x:c r="A199" s="7" t="str">
        <x:v>2022年7月19日</x:v>
      </x:c>
      <x:c r="B199" s="7" t="str">
        <x:v>日</x:v>
      </x:c>
      <x:c r="C199" s="7" t="str">
        <x:v>meti_fukushima_gi</x:v>
      </x:c>
      <x:c r="D199" s="7" t="str">
        <x:v>福島商用電動車・エネルギーマネジメント</x:v>
      </x:c>
      <x:c r="E199" s="7" t="str">
        <x:v>GI基金スマートモビリティ開始を公表</x:v>
      </x:c>
      <x:c r="F199" s="7" t="str">
        <x:v>開発開始</x:v>
      </x:c>
      <x:c r="G199" s="7" t="str">
        <x:v>地域事例</x:v>
      </x:c>
      <x:c r="H199" s="7" t="str">
        <x:v>経済産業省</x:v>
      </x:c>
      <x:c r="I199" s="7" t="str">
        <x:v>福島県</x:v>
      </x:c>
      <x:c r="J199" s="7" t="str">
        <x:v>smartgi</x:v>
      </x:c>
      <x:c r="K199" s="18" t="n">
        <x:v>44761</x:v>
      </x:c>
      <x:c r="L199" s="7" t="str">
        <x:v>2022-07-19</x:v>
      </x:c>
      <x:c r="M199" s="18" t="n">
        <x:v>46326</x:v>
      </x:c>
      <x:c r="N199" s="7" t="str">
        <x:v>S294</x:v>
      </x:c>
      <x:c r="O199" s="7" t="str">
        <x:v>https://www.nedo.go.jp/news/press/AA5_101560.html</x:v>
      </x:c>
      <x:c r="P199" s="7" t="str"/>
      <x:c r="Q199" s="7" t="str">
        <x:v>EV-44221558ab3e</x:v>
      </x:c>
      <x:c r="R199" s="7" t="str">
        <x:v>meti_fukushima_gi</x:v>
      </x:c>
      <x:c r="S199" s="20" t="n">
        <x:v>2022</x:v>
      </x:c>
      <x:c r="T199" s="20" t="n">
        <x:v>7</x:v>
      </x:c>
      <x:c r="U199" s="7" t="str">
        <x:v>暦年・暦月</x:v>
      </x:c>
      <x:c r="V199" s="18" t="n">
        <x:v>44761</x:v>
      </x:c>
      <x:c r="W199" s="7" t="str">
        <x:v>SRC-d0ec6adda0</x:v>
      </x:c>
      <x:c r="X199" s="7" t="str"/>
      <x:c r="Y199" s="20" t="n">
        <x:v>192</x:v>
      </x:c>
      <x:c r="Z199" s="7" t="str"/>
      <x:c r="AA199" s="7" t="str"/>
      <x:c r="AB199" s="7" t="str"/>
    </x:row>
    <x:row r="200" ht="40.400001525878906" customHeight="1">
      <x:c r="A200" s="7" t="str">
        <x:v>2022年7月19日</x:v>
      </x:c>
      <x:c r="B200" s="7" t="str">
        <x:v>日</x:v>
      </x:c>
      <x:c r="C200" s="7" t="str">
        <x:v>smartgi</x:v>
      </x:c>
      <x:c r="D200" s="7" t="str">
        <x:v>GI基金：スマートモビリティ社会の構築</x:v>
      </x:c>
      <x:c r="E200" s="7" t="str">
        <x:v>NEDOがGI基金のスマートモビリティ社会の構築への着手を公表。商用電動車の運行と電力を一体で最適化する。</x:v>
      </x:c>
      <x:c r="F200" s="7" t="str">
        <x:v>着手公表</x:v>
      </x:c>
      <x:c r="G200" s="7" t="str">
        <x:v>政策制度</x:v>
      </x:c>
      <x:c r="H200" s="7" t="str">
        <x:v>経済産業省</x:v>
      </x:c>
      <x:c r="I200" s="7" t="str"/>
      <x:c r="J200" s="7" t="str">
        <x:v>smartgi</x:v>
      </x:c>
      <x:c r="K200" s="18" t="n">
        <x:v>44761</x:v>
      </x:c>
      <x:c r="L200" s="7" t="str">
        <x:v>2022-07-19</x:v>
      </x:c>
      <x:c r="M200" s="18" t="n">
        <x:v>46326</x:v>
      </x:c>
      <x:c r="N200" s="7" t="str">
        <x:v>S294</x:v>
      </x:c>
      <x:c r="O200" s="7" t="str">
        <x:v>https://www.nedo.go.jp/news/press/AA5_101560.html</x:v>
      </x:c>
      <x:c r="P200" s="7" t="str"/>
      <x:c r="Q200" s="7" t="str">
        <x:v>EV-6c23526b0bc2</x:v>
      </x:c>
      <x:c r="R200" s="7" t="str">
        <x:v>integrated</x:v>
      </x:c>
      <x:c r="S200" s="20" t="n">
        <x:v>2022</x:v>
      </x:c>
      <x:c r="T200" s="20" t="n">
        <x:v>7</x:v>
      </x:c>
      <x:c r="U200" s="7" t="str">
        <x:v>暦年・暦月</x:v>
      </x:c>
      <x:c r="V200" s="18" t="n">
        <x:v>44761</x:v>
      </x:c>
      <x:c r="W200" s="7" t="str">
        <x:v>SRC-d0ec6adda0</x:v>
      </x:c>
      <x:c r="X200" s="7" t="str"/>
      <x:c r="Y200" s="20" t="n">
        <x:v>193</x:v>
      </x:c>
      <x:c r="Z200" s="7" t="str"/>
      <x:c r="AA200" s="7" t="str"/>
      <x:c r="AB200" s="7" t="str"/>
    </x:row>
    <x:row r="201" ht="54.599998474121094" customHeight="1">
      <x:c r="A201" s="7" t="str">
        <x:v>2022年8月1日</x:v>
      </x:c>
      <x:c r="B201" s="7" t="str">
        <x:v>日</x:v>
      </x:c>
      <x:c r="C201" s="7" t="str">
        <x:v>DIG-P01</x:v>
      </x:c>
      <x:c r="D201" s="7" t="str">
        <x:v>官民ITS構想・ロードマップ（前身政策）</x:v>
      </x:c>
      <x:c r="E201" s="7" t="str">
        <x:v>デジタルを活用した交通社会の未来2022へ政策を継承。デジタル庁発足前の実績は遡及帰属しない。</x:v>
      </x:c>
      <x:c r="F201" s="7" t="str">
        <x:v>政策継承</x:v>
      </x:c>
      <x:c r="G201" s="7" t="str">
        <x:v>政策制度</x:v>
      </x:c>
      <x:c r="H201" s="7" t="str">
        <x:v>内閣官房IT総合戦略室
IT総合戦略本部・官民データ活用推進戦略会議</x:v>
      </x:c>
      <x:c r="I201" s="7" t="str"/>
      <x:c r="J201" s="7" t="str">
        <x:v>DIG-P01</x:v>
      </x:c>
      <x:c r="K201" s="18"/>
      <x:c r="L201" s="7" t="str">
        <x:v>2022-08-02／ページ更新2026-06-19</x:v>
      </x:c>
      <x:c r="M201" s="18" t="n">
        <x:v>46326</x:v>
      </x:c>
      <x:c r="N201" s="7" t="str">
        <x:v>S141</x:v>
      </x:c>
      <x:c r="O201" s="7" t="str">
        <x:v>https://www.digital.go.jp/policies/mobility</x:v>
      </x:c>
      <x:c r="P201" s="7" t="str"/>
      <x:c r="Q201" s="7" t="str">
        <x:v>EV-0fe7b2cc4e50</x:v>
      </x:c>
      <x:c r="R201" s="7" t="str">
        <x:v>DIG-P01</x:v>
      </x:c>
      <x:c r="S201" s="20" t="n">
        <x:v>2022</x:v>
      </x:c>
      <x:c r="T201" s="20" t="n">
        <x:v>8</x:v>
      </x:c>
      <x:c r="U201" s="7" t="str">
        <x:v>暦年・暦月</x:v>
      </x:c>
      <x:c r="V201" s="18" t="n">
        <x:v>44774</x:v>
      </x:c>
      <x:c r="W201" s="7" t="str">
        <x:v>SRC-af66eca641</x:v>
      </x:c>
      <x:c r="X201" s="7" t="str"/>
      <x:c r="Y201" s="20" t="n">
        <x:v>194</x:v>
      </x:c>
      <x:c r="Z201" s="7" t="str"/>
      <x:c r="AA201" s="7" t="str"/>
      <x:c r="AB201" s="7" t="str"/>
    </x:row>
    <x:row r="202" ht="40.400001525878906" customHeight="1">
      <x:c r="A202" s="7" t="str">
        <x:v>2022年8月1日</x:v>
      </x:c>
      <x:c r="B202" s="7" t="str">
        <x:v>日</x:v>
      </x:c>
      <x:c r="C202" s="7" t="str">
        <x:v>DIG-P09</x:v>
      </x:c>
      <x:c r="D202" s="7" t="str">
        <x:v>デジタルを活用した交通社会の未来2022</x:v>
      </x:c>
      <x:c r="E202" s="7" t="str">
        <x:v>交通社会の未来2022を決定。官民ITSの発展的継承。</x:v>
      </x:c>
      <x:c r="F202" s="7" t="str">
        <x:v>戦略決定</x:v>
      </x:c>
      <x:c r="G202" s="7" t="str">
        <x:v>政策制度</x:v>
      </x:c>
      <x:c r="H202" s="7" t="str">
        <x:v>デジタル庁
デジタル社会推進会議幹事会</x:v>
      </x:c>
      <x:c r="I202" s="7" t="str"/>
      <x:c r="J202" s="7" t="str">
        <x:v>DIG-P09</x:v>
      </x:c>
      <x:c r="K202" s="18"/>
      <x:c r="L202" s="7" t="str">
        <x:v>2022-08-02／ページ更新2026-06-19</x:v>
      </x:c>
      <x:c r="M202" s="18" t="n">
        <x:v>46326</x:v>
      </x:c>
      <x:c r="N202" s="7" t="str">
        <x:v>S141</x:v>
      </x:c>
      <x:c r="O202" s="7" t="str">
        <x:v>https://www.digital.go.jp/policies/mobility</x:v>
      </x:c>
      <x:c r="P202" s="7" t="str"/>
      <x:c r="Q202" s="7" t="str">
        <x:v>EV-e353b9d428ce</x:v>
      </x:c>
      <x:c r="R202" s="7" t="str">
        <x:v>DIG-P09</x:v>
      </x:c>
      <x:c r="S202" s="20" t="n">
        <x:v>2022</x:v>
      </x:c>
      <x:c r="T202" s="20" t="n">
        <x:v>8</x:v>
      </x:c>
      <x:c r="U202" s="7" t="str">
        <x:v>暦年・暦月</x:v>
      </x:c>
      <x:c r="V202" s="18" t="n">
        <x:v>44774</x:v>
      </x:c>
      <x:c r="W202" s="7" t="str">
        <x:v>SRC-af66eca641</x:v>
      </x:c>
      <x:c r="X202" s="7" t="str"/>
      <x:c r="Y202" s="20" t="n">
        <x:v>195</x:v>
      </x:c>
      <x:c r="Z202" s="7" t="str"/>
      <x:c r="AA202" s="7" t="str"/>
      <x:c r="AB202" s="7" t="str"/>
    </x:row>
    <x:row r="203" ht="40.400001525878906" customHeight="1">
      <x:c r="A203" s="7" t="str">
        <x:v>2022年9月</x:v>
      </x:c>
      <x:c r="B203" s="7" t="str">
        <x:v>月</x:v>
      </x:c>
      <x:c r="C203" s="7" t="str">
        <x:v>meti_iruma</x:v>
      </x:c>
      <x:c r="D203" s="7" t="str">
        <x:v>ASOVO 健康・移動支援</x:v>
      </x:c>
      <x:c r="E203" s="7" t="str">
        <x:v>市がASOVO推進状況を記載</x:v>
      </x:c>
      <x:c r="F203" s="7" t="str">
        <x:v>取組確認</x:v>
      </x:c>
      <x:c r="G203" s="7" t="str">
        <x:v>地域事例</x:v>
      </x:c>
      <x:c r="H203" s="7" t="str">
        <x:v>経済産業省</x:v>
      </x:c>
      <x:c r="I203" s="7" t="str">
        <x:v>埼玉県入間市</x:v>
      </x:c>
      <x:c r="J203" s="7" t="str">
        <x:v>smc</x:v>
      </x:c>
      <x:c r="K203" s="18" t="str">
        <x:v>2022-09</x:v>
      </x:c>
      <x:c r="L203" s="7" t="str">
        <x:v>2022-09</x:v>
      </x:c>
      <x:c r="M203" s="18" t="n">
        <x:v>46326</x:v>
      </x:c>
      <x:c r="N203" s="7" t="str">
        <x:v>S069</x:v>
      </x:c>
      <x:c r="O203" s="7" t="str">
        <x:v>https://www.city.iruma.saitama.jp/material/files/group/4/kouyaku-shinchoku-R0409.pdf</x:v>
      </x:c>
      <x:c r="P203" s="7" t="str"/>
      <x:c r="Q203" s="7" t="str">
        <x:v>EV-21de981ab5ab</x:v>
      </x:c>
      <x:c r="R203" s="7" t="str">
        <x:v>meti_iruma</x:v>
      </x:c>
      <x:c r="S203" s="20" t="n">
        <x:v>2022</x:v>
      </x:c>
      <x:c r="T203" s="20" t="n">
        <x:v>9</x:v>
      </x:c>
      <x:c r="U203" s="7" t="str">
        <x:v>暦年・暦月</x:v>
      </x:c>
      <x:c r="V203" s="18"/>
      <x:c r="W203" s="7" t="str">
        <x:v>SRC-04660a1fbc</x:v>
      </x:c>
      <x:c r="X203" s="7" t="str"/>
      <x:c r="Y203" s="20" t="n">
        <x:v>196</x:v>
      </x:c>
      <x:c r="Z203" s="7" t="str"/>
      <x:c r="AA203" s="7" t="str"/>
      <x:c r="AB203" s="7" t="str"/>
    </x:row>
    <x:row r="204" ht="54.599998474121094" customHeight="1">
      <x:c r="A204" s="7" t="str">
        <x:v>2022年9月27日</x:v>
      </x:c>
      <x:c r="B204" s="7" t="str">
        <x:v>日</x:v>
      </x:c>
      <x:c r="C204" s="7" t="str">
        <x:v>DIG-P17</x:v>
      </x:c>
      <x:c r="D204" s="7" t="str">
        <x:v>自律移動ロボット／3次元空間情報基盤アーキテクチャ</x:v>
      </x:c>
      <x:c r="E204" s="7" t="str">
        <x:v>自律移動ロボット・3次元空間情報基盤のアーキテクチャ検討を公表。</x:v>
      </x:c>
      <x:c r="F204" s="7" t="str">
        <x:v>構成検討公表</x:v>
      </x:c>
      <x:c r="G204" s="7" t="str">
        <x:v>政策制度</x:v>
      </x:c>
      <x:c r="H204" s="7" t="str">
        <x:v>デジタル庁
IPA DADC
関係省庁</x:v>
      </x:c>
      <x:c r="I204" s="7" t="str"/>
      <x:c r="J204" s="7" t="str">
        <x:v>DIG-P17</x:v>
      </x:c>
      <x:c r="K204" s="18"/>
      <x:c r="L204" s="7" t="str">
        <x:v>2022-08-02／ページ更新2026-06-19</x:v>
      </x:c>
      <x:c r="M204" s="18" t="n">
        <x:v>46326</x:v>
      </x:c>
      <x:c r="N204" s="7" t="str">
        <x:v>S141</x:v>
      </x:c>
      <x:c r="O204" s="7" t="str">
        <x:v>https://www.digital.go.jp/policies/mobility</x:v>
      </x:c>
      <x:c r="P204" s="7" t="str"/>
      <x:c r="Q204" s="7" t="str">
        <x:v>EV-7aee3b4f7312</x:v>
      </x:c>
      <x:c r="R204" s="7" t="str">
        <x:v>DIG-P17</x:v>
      </x:c>
      <x:c r="S204" s="20" t="n">
        <x:v>2022</x:v>
      </x:c>
      <x:c r="T204" s="20" t="n">
        <x:v>9</x:v>
      </x:c>
      <x:c r="U204" s="7" t="str">
        <x:v>暦年・暦月</x:v>
      </x:c>
      <x:c r="V204" s="18" t="n">
        <x:v>44831</x:v>
      </x:c>
      <x:c r="W204" s="7" t="str">
        <x:v>SRC-af66eca641</x:v>
      </x:c>
      <x:c r="X204" s="7" t="str"/>
      <x:c r="Y204" s="20" t="n">
        <x:v>197</x:v>
      </x:c>
      <x:c r="Z204" s="7" t="str"/>
      <x:c r="AA204" s="7" t="str"/>
      <x:c r="AB204" s="7" t="str"/>
    </x:row>
    <x:row r="205" ht="40.400001525878906" customHeight="1">
      <x:c r="A205" s="7" t="str">
        <x:v>2022年10月1日</x:v>
      </x:c>
      <x:c r="B205" s="7" t="str">
        <x:v>日</x:v>
      </x:c>
      <x:c r="C205" s="7" t="str">
        <x:v>meti_kasugai</x:v>
      </x:c>
      <x:c r="D205" s="7" t="str">
        <x:v>石尾台おでかけサービス</x:v>
      </x:c>
      <x:c r="E205" s="7" t="str">
        <x:v>住民NPOが手動送迎開始</x:v>
      </x:c>
      <x:c r="F205" s="7" t="str">
        <x:v>実装</x:v>
      </x:c>
      <x:c r="G205" s="7" t="str">
        <x:v>地域事例</x:v>
      </x:c>
      <x:c r="H205" s="7" t="str">
        <x:v>経済産業省</x:v>
      </x:c>
      <x:c r="I205" s="7" t="str">
        <x:v>愛知県春日井市</x:v>
      </x:c>
      <x:c r="J205" s="7" t="str">
        <x:v>smc</x:v>
      </x:c>
      <x:c r="K205" s="18" t="n">
        <x:v>46153</x:v>
      </x:c>
      <x:c r="L205" s="7" t="str">
        <x:v>2026-05-11</x:v>
      </x:c>
      <x:c r="M205" s="18" t="n">
        <x:v>46326</x:v>
      </x:c>
      <x:c r="N205" s="7" t="str">
        <x:v>S071</x:v>
      </x:c>
      <x:c r="O205" s="7" t="str">
        <x:v>https://www.city.kasugai.lg.jp/shisei/machi/new_town/1022354/1024425/index.html</x:v>
      </x:c>
      <x:c r="P205" s="7" t="str"/>
      <x:c r="Q205" s="7" t="str">
        <x:v>EV-4900f9ee24ef</x:v>
      </x:c>
      <x:c r="R205" s="7" t="str">
        <x:v>meti_kasugai</x:v>
      </x:c>
      <x:c r="S205" s="20" t="n">
        <x:v>2022</x:v>
      </x:c>
      <x:c r="T205" s="20" t="n">
        <x:v>10</x:v>
      </x:c>
      <x:c r="U205" s="7" t="str">
        <x:v>暦年・暦月</x:v>
      </x:c>
      <x:c r="V205" s="18" t="n">
        <x:v>44835</x:v>
      </x:c>
      <x:c r="W205" s="7" t="str">
        <x:v>SRC-2f236bc8f2</x:v>
      </x:c>
      <x:c r="X205" s="7" t="str"/>
      <x:c r="Y205" s="20" t="n">
        <x:v>198</x:v>
      </x:c>
      <x:c r="Z205" s="7" t="str"/>
      <x:c r="AA205" s="7" t="str"/>
      <x:c r="AB205" s="7" t="str"/>
    </x:row>
    <x:row r="206" ht="30" customHeight="1">
      <x:c r="A206" s="7" t="str">
        <x:v>2022年10月</x:v>
      </x:c>
      <x:c r="B206" s="7" t="str">
        <x:v>月</x:v>
      </x:c>
      <x:c r="C206" s="7" t="str">
        <x:v>ENV-C08</x:v>
      </x:c>
      <x:c r="D206" s="7" t="str">
        <x:v>NIKKO MaaS</x:v>
      </x:c>
      <x:c r="E206" s="7" t="str">
        <x:v>事例集上のCO2累計集計時点</x:v>
      </x:c>
      <x:c r="F206" s="7" t="str">
        <x:v>報告実績（境界不明）</x:v>
      </x:c>
      <x:c r="G206" s="7" t="str">
        <x:v>地域事例</x:v>
      </x:c>
      <x:c r="H206" s="7" t="str">
        <x:v>環境省</x:v>
      </x:c>
      <x:c r="I206" s="7" t="str">
        <x:v>栃木県日光市</x:v>
      </x:c>
      <x:c r="J206" s="7" t="str">
        <x:v>ENV-P03</x:v>
      </x:c>
      <x:c r="K206" s="18" t="str">
        <x:v>2023-12</x:v>
      </x:c>
      <x:c r="L206" s="7" t="str">
        <x:v>2023-12</x:v>
      </x:c>
      <x:c r="M206" s="18" t="n">
        <x:v>46326</x:v>
      </x:c>
      <x:c r="N206" s="7" t="str">
        <x:v>S051</x:v>
      </x:c>
      <x:c r="O206" s="7" t="str">
        <x:v>https://tohoku.env.go.jp/content/000220128.pdf</x:v>
      </x:c>
      <x:c r="P206" s="7" t="str"/>
      <x:c r="Q206" s="7" t="str">
        <x:v>EV-fd74c5ea70da</x:v>
      </x:c>
      <x:c r="R206" s="7" t="str">
        <x:v>ENV-C08</x:v>
      </x:c>
      <x:c r="S206" s="20" t="n">
        <x:v>2022</x:v>
      </x:c>
      <x:c r="T206" s="20" t="n">
        <x:v>10</x:v>
      </x:c>
      <x:c r="U206" s="7" t="str">
        <x:v>暦年・暦月</x:v>
      </x:c>
      <x:c r="V206" s="18"/>
      <x:c r="W206" s="7" t="str">
        <x:v>SRC-053d2c3113</x:v>
      </x:c>
      <x:c r="X206" s="7" t="str"/>
      <x:c r="Y206" s="20" t="n">
        <x:v>199</x:v>
      </x:c>
      <x:c r="Z206" s="7" t="str"/>
      <x:c r="AA206" s="7" t="str"/>
      <x:c r="AB206" s="7" t="str"/>
    </x:row>
    <x:row r="207" ht="30" customHeight="1">
      <x:c r="A207" s="7" t="str">
        <x:v>2022年12月</x:v>
      </x:c>
      <x:c r="B207" s="7" t="str">
        <x:v>月</x:v>
      </x:c>
      <x:c r="C207" s="7" t="str">
        <x:v>V-C03</x:v>
      </x:c>
      <x:c r="D207" s="7" t="str">
        <x:v>上士幌自動運転</x:v>
      </x:c>
      <x:c r="E207" s="7" t="str">
        <x:v>ARMA定常運行開始</x:v>
      </x:c>
      <x:c r="F207" s="7" t="str">
        <x:v>定常運行</x:v>
      </x:c>
      <x:c r="G207" s="7" t="str">
        <x:v>地域事例</x:v>
      </x:c>
      <x:c r="H207" s="7" t="str">
        <x:v>横断検証（個別所管は資料参照）</x:v>
      </x:c>
      <x:c r="I207" s="7" t="str">
        <x:v>北海道上士幌町</x:v>
      </x:c>
      <x:c r="J207" s="7" t="str"/>
      <x:c r="K207" s="18"/>
      <x:c r="L207" s="7" t="str"/>
      <x:c r="M207" s="18" t="n">
        <x:v>46326</x:v>
      </x:c>
      <x:c r="N207" s="7" t="str">
        <x:v>S188</x:v>
      </x:c>
      <x:c r="O207" s="7" t="str">
        <x:v>https://www.kamishihoro.jp/sp/self_driving_bus</x:v>
      </x:c>
      <x:c r="P207" s="7" t="str"/>
      <x:c r="Q207" s="7" t="str">
        <x:v>EV-e3a37cb5ee62</x:v>
      </x:c>
      <x:c r="R207" s="7" t="str">
        <x:v>V-C03</x:v>
      </x:c>
      <x:c r="S207" s="20" t="n">
        <x:v>2022</x:v>
      </x:c>
      <x:c r="T207" s="20" t="n">
        <x:v>12</x:v>
      </x:c>
      <x:c r="U207" s="7" t="str">
        <x:v>暦年・暦月</x:v>
      </x:c>
      <x:c r="V207" s="18"/>
      <x:c r="W207" s="7" t="str">
        <x:v>SRC-6bba5e5a9d</x:v>
      </x:c>
      <x:c r="X207" s="7" t="str"/>
      <x:c r="Y207" s="20" t="n">
        <x:v>200</x:v>
      </x:c>
      <x:c r="Z207" s="7" t="str"/>
      <x:c r="AA207" s="7" t="str"/>
      <x:c r="AB207" s="7" t="str"/>
    </x:row>
    <x:row r="208" ht="30" customHeight="1">
      <x:c r="A208" s="7" t="str">
        <x:v>2022年12月31日</x:v>
      </x:c>
      <x:c r="B208" s="7" t="str">
        <x:v>日</x:v>
      </x:c>
      <x:c r="C208" s="7" t="str">
        <x:v>ENV-C17</x:v>
      </x:c>
      <x:c r="D208" s="7" t="str">
        <x:v>徳島バスの燃料電池路線バス</x:v>
      </x:c>
      <x:c r="E208" s="7" t="str">
        <x:v>約13か月のCO2削減を事例集が集計</x:v>
      </x:c>
      <x:c r="F208" s="7" t="str">
        <x:v>報告実績</x:v>
      </x:c>
      <x:c r="G208" s="7" t="str">
        <x:v>地域事例</x:v>
      </x:c>
      <x:c r="H208" s="7" t="str">
        <x:v>環境省</x:v>
      </x:c>
      <x:c r="I208" s="7" t="str">
        <x:v>徳島県徳島市・鳴門市等</x:v>
      </x:c>
      <x:c r="J208" s="7" t="str"/>
      <x:c r="K208" s="18"/>
      <x:c r="L208" s="7" t="str"/>
      <x:c r="M208" s="18" t="n">
        <x:v>46326</x:v>
      </x:c>
      <x:c r="N208" s="7" t="str">
        <x:v>S003</x:v>
      </x:c>
      <x:c r="O208" s="7" t="str">
        <x:v>https://chushikoku.env.go.jp/shikoku/content/000128392.pdf</x:v>
      </x:c>
      <x:c r="P208" s="7" t="str"/>
      <x:c r="Q208" s="7" t="str">
        <x:v>EV-fe2bf9ce2f6d</x:v>
      </x:c>
      <x:c r="R208" s="7" t="str">
        <x:v>ENV-C17</x:v>
      </x:c>
      <x:c r="S208" s="20" t="n">
        <x:v>2022</x:v>
      </x:c>
      <x:c r="T208" s="20" t="n">
        <x:v>12</x:v>
      </x:c>
      <x:c r="U208" s="7" t="str">
        <x:v>暦年・暦月</x:v>
      </x:c>
      <x:c r="V208" s="18" t="n">
        <x:v>44926</x:v>
      </x:c>
      <x:c r="W208" s="7" t="str">
        <x:v>SRC-85ed858f18</x:v>
      </x:c>
      <x:c r="X208" s="7" t="str"/>
      <x:c r="Y208" s="20" t="n">
        <x:v>201</x:v>
      </x:c>
      <x:c r="Z208" s="7" t="str"/>
      <x:c r="AA208" s="7" t="str"/>
      <x:c r="AB208" s="7" t="str"/>
    </x:row>
    <x:row r="209" ht="54.599998474121094" customHeight="1">
      <x:c r="A209" s="7" t="str">
        <x:v>2023年</x:v>
      </x:c>
      <x:c r="B209" s="7" t="str">
        <x:v>年</x:v>
      </x:c>
      <x:c r="C209" s="7" t="str">
        <x:v>DIG-P03</x:v>
      </x:c>
      <x:c r="D209" s="7" t="str">
        <x:v>SIP第2期 自動運転（システムとサービスの拡張）</x:v>
      </x:c>
      <x:c r="E209" s="7" t="str">
        <x:v>最終成果展示でMD communet等を提示。</x:v>
      </x:c>
      <x:c r="F209" s="7" t="str">
        <x:v>成果報告</x:v>
      </x:c>
      <x:c r="G209" s="7" t="str">
        <x:v>政策制度</x:v>
      </x:c>
      <x:c r="H209" s="7" t="str">
        <x:v>内閣府CSTI
NEDO
関係省庁</x:v>
      </x:c>
      <x:c r="I209" s="7" t="str"/>
      <x:c r="J209" s="7" t="str">
        <x:v>DIG-P03</x:v>
      </x:c>
      <x:c r="K209" s="18" t="str">
        <x:v>2023</x:v>
      </x:c>
      <x:c r="L209" s="7" t="str">
        <x:v>2023</x:v>
      </x:c>
      <x:c r="M209" s="18" t="n">
        <x:v>46326</x:v>
      </x:c>
      <x:c r="N209" s="7" t="str">
        <x:v>S313</x:v>
      </x:c>
      <x:c r="O209" s="7" t="str">
        <x:v>https://www.sip-adus.go.jp/exhibition/e2.html</x:v>
      </x:c>
      <x:c r="P209" s="7" t="str">
        <x:v>同一期間内の厳密な前後関係は日付精度により未確定</x:v>
      </x:c>
      <x:c r="Q209" s="7" t="str">
        <x:v>EV-00596ae5ac19</x:v>
      </x:c>
      <x:c r="R209" s="7" t="str">
        <x:v>DIG-P03</x:v>
      </x:c>
      <x:c r="S209" s="20" t="n">
        <x:v>2023</x:v>
      </x:c>
      <x:c r="T209" s="20" t="n">
        <x:v>1</x:v>
      </x:c>
      <x:c r="U209" s="7" t="str">
        <x:v>暦年・暦月</x:v>
      </x:c>
      <x:c r="V209" s="18"/>
      <x:c r="W209" s="7" t="str">
        <x:v>SRC-39c18d9fd9</x:v>
      </x:c>
      <x:c r="X209" s="7" t="str"/>
      <x:c r="Y209" s="20" t="n">
        <x:v>202</x:v>
      </x:c>
      <x:c r="Z209" s="7" t="str"/>
      <x:c r="AA209" s="7" t="str"/>
      <x:c r="AB209" s="7" t="str"/>
    </x:row>
    <x:row r="210" ht="30" customHeight="1">
      <x:c r="A210" s="7" t="str">
        <x:v>2023年1月</x:v>
      </x:c>
      <x:c r="B210" s="7" t="str">
        <x:v>月</x:v>
      </x:c>
      <x:c r="C210" s="7" t="str">
        <x:v>meti_fukushima_rtf</x:v>
      </x:c>
      <x:c r="D210" s="7" t="str">
        <x:v>福島RTFドローン運航管理</x:v>
      </x:c>
      <x:c r="E210" s="7" t="str">
        <x:v>社会実装への技術移転を紹介</x:v>
      </x:c>
      <x:c r="F210" s="7" t="str">
        <x:v>成果公表</x:v>
      </x:c>
      <x:c r="G210" s="7" t="str">
        <x:v>地域事例</x:v>
      </x:c>
      <x:c r="H210" s="7" t="str">
        <x:v>経済産業省</x:v>
      </x:c>
      <x:c r="I210" s="7" t="str">
        <x:v>福島県南相馬市等</x:v>
      </x:c>
      <x:c r="J210" s="7" t="str">
        <x:v>dress</x:v>
      </x:c>
      <x:c r="K210" s="18" t="str">
        <x:v>2023-01</x:v>
      </x:c>
      <x:c r="L210" s="7" t="str">
        <x:v>2023-01</x:v>
      </x:c>
      <x:c r="M210" s="18" t="n">
        <x:v>46326</x:v>
      </x:c>
      <x:c r="N210" s="7" t="str">
        <x:v>S290</x:v>
      </x:c>
      <x:c r="O210" s="7" t="str">
        <x:v>https://www.nedo.go.jp/media/practical-realization/202301kddi.html</x:v>
      </x:c>
      <x:c r="P210" s="7" t="str"/>
      <x:c r="Q210" s="7" t="str">
        <x:v>EV-07c17e167996</x:v>
      </x:c>
      <x:c r="R210" s="7" t="str">
        <x:v>meti_fukushima_rtf</x:v>
      </x:c>
      <x:c r="S210" s="20" t="n">
        <x:v>2023</x:v>
      </x:c>
      <x:c r="T210" s="20" t="n">
        <x:v>1</x:v>
      </x:c>
      <x:c r="U210" s="7" t="str">
        <x:v>暦年・暦月</x:v>
      </x:c>
      <x:c r="V210" s="18"/>
      <x:c r="W210" s="7" t="str">
        <x:v>SRC-2a1c186ca3</x:v>
      </x:c>
      <x:c r="X210" s="7" t="str"/>
      <x:c r="Y210" s="20" t="n">
        <x:v>203</x:v>
      </x:c>
      <x:c r="Z210" s="7" t="str"/>
      <x:c r="AA210" s="7" t="str"/>
      <x:c r="AB210" s="7" t="str"/>
    </x:row>
    <x:row r="211" ht="40.400001525878906" customHeight="1">
      <x:c r="A211" s="7" t="str">
        <x:v>2023年</x:v>
      </x:c>
      <x:c r="B211" s="7" t="str">
        <x:v>年</x:v>
      </x:c>
      <x:c r="C211" s="7" t="str">
        <x:v>meti_yasu</x:v>
      </x:c>
      <x:c r="D211" s="7" t="str">
        <x:v>ゴイッショやす</x:v>
      </x:c>
      <x:c r="E211" s="7" t="str">
        <x:v>共同送迎実証開始</x:v>
      </x:c>
      <x:c r="F211" s="7" t="str">
        <x:v>実証</x:v>
      </x:c>
      <x:c r="G211" s="7" t="str">
        <x:v>地域事例</x:v>
      </x:c>
      <x:c r="H211" s="7" t="str">
        <x:v>経済産業省</x:v>
      </x:c>
      <x:c r="I211" s="7" t="str">
        <x:v>滋賀県野洲市</x:v>
      </x:c>
      <x:c r="J211" s="7" t="str">
        <x:v>smc</x:v>
      </x:c>
      <x:c r="K211" s="18" t="n">
        <x:v>45875</x:v>
      </x:c>
      <x:c r="L211" s="7" t="str">
        <x:v>2025-08-06</x:v>
      </x:c>
      <x:c r="M211" s="18" t="n">
        <x:v>46326</x:v>
      </x:c>
      <x:c r="N211" s="7" t="str">
        <x:v>S121</x:v>
      </x:c>
      <x:c r="O211" s="7" t="str">
        <x:v>https://www.city.yasu.lg.jp/material/files/group/68/shiryou2_20250806.pdf</x:v>
      </x:c>
      <x:c r="P211" s="7" t="str"/>
      <x:c r="Q211" s="7" t="str">
        <x:v>EV-652b3dede111</x:v>
      </x:c>
      <x:c r="R211" s="7" t="str">
        <x:v>meti_yasu</x:v>
      </x:c>
      <x:c r="S211" s="20" t="n">
        <x:v>2023</x:v>
      </x:c>
      <x:c r="T211" s="20" t="n">
        <x:v>1</x:v>
      </x:c>
      <x:c r="U211" s="7" t="str">
        <x:v>暦年・暦月</x:v>
      </x:c>
      <x:c r="V211" s="18"/>
      <x:c r="W211" s="7" t="str">
        <x:v>SRC-ee08c116a0</x:v>
      </x:c>
      <x:c r="X211" s="7" t="str"/>
      <x:c r="Y211" s="20" t="n">
        <x:v>204</x:v>
      </x:c>
      <x:c r="Z211" s="7" t="str"/>
      <x:c r="AA211" s="7" t="str"/>
      <x:c r="AB211" s="7" t="str"/>
    </x:row>
    <x:row r="212" ht="83" customHeight="1">
      <x:c r="A212" s="7" t="str">
        <x:v>2023年</x:v>
      </x:c>
      <x:c r="B212" s="7" t="str">
        <x:v>年</x:v>
      </x:c>
      <x:c r="C212" s="7" t="str"/>
      <x:c r="D212" s="7" t="str">
        <x:v>国土交通省の政策動向</x:v>
      </x:c>
      <x:c r="E212" s="7" t="str">
        <x:v>共創77・人材育成、ローカル鉄道再構築、シェアサイクル運営ガイドライン。かみこあに運休・再開、みやま地域移管。</x:v>
      </x:c>
      <x:c r="F212" s="7" t="str"/>
      <x:c r="G212" s="7" t="str">
        <x:v>政策制度</x:v>
      </x:c>
      <x:c r="H212" s="7" t="str">
        <x:v>国土交通省</x:v>
      </x:c>
      <x:c r="I212" s="7" t="str"/>
      <x:c r="J212" s="7" t="str"/>
      <x:c r="K212" s="18"/>
      <x:c r="L212" s="7" t="str"/>
      <x:c r="M212" s="18" t="n">
        <x:v>46326</x:v>
      </x:c>
      <x:c r="N212" s="7" t="str">
        <x:v>S222
S274
S254
S021
S093</x:v>
      </x:c>
      <x:c r="O212" s="7" t="str">
        <x:v>https://www.mlit.go.jp/2chiiki/files/nichiikisesaku_r6240501.pdf</x:v>
      </x:c>
      <x:c r="P212" s="7" t="str"/>
      <x:c r="Q212" s="7" t="str">
        <x:v>EV-9095cda88b24</x:v>
      </x:c>
      <x:c r="R212" s="7" t="str">
        <x:v>mlit</x:v>
      </x:c>
      <x:c r="S212" s="20" t="n">
        <x:v>2023</x:v>
      </x:c>
      <x:c r="T212" s="20" t="n">
        <x:v>1</x:v>
      </x:c>
      <x:c r="U212" s="7" t="str">
        <x:v>暦年・暦月</x:v>
      </x:c>
      <x:c r="V212" s="18"/>
      <x:c r="W212" s="7" t="str">
        <x:v>SRC-e1b1eeef61
SRC-836d74d5f5
SRC-4b64509089
SRC-5e7d755892
SRC-f2fb94be7b</x:v>
      </x:c>
      <x:c r="X212" s="7" t="str">
        <x:v>https://www.mlit.go.jp/tetudo/tetudo_tk5_000011.html
https://www.mlit.go.jp/road/bicycleuse/share-cycle/
https://michinoeki-kamikoani.jp/news_cat/
https://www.city.miyama.lg.jp/s068/kurashi/giandaiichigo.pdf</x:v>
      </x:c>
      <x:c r="Y212" s="20" t="n">
        <x:v>205</x:v>
      </x:c>
      <x:c r="Z212" s="7" t="str"/>
      <x:c r="AA212" s="7" t="str"/>
      <x:c r="AB212" s="7" t="str"/>
    </x:row>
    <x:row r="213" ht="68.80000305175781" customHeight="1">
      <x:c r="A213" s="7" t="str">
        <x:v>2023-01-30/2023-03-03</x:v>
      </x:c>
      <x:c r="B213" s="7" t="str">
        <x:v>期間</x:v>
      </x:c>
      <x:c r="C213" s="7" t="str">
        <x:v>DIG-C14</x:v>
      </x:c>
      <x:c r="D213" s="7" t="str">
        <x:v>高蔵寺ニュータウン・モビリティハブ</x:v>
      </x:c>
      <x:c r="E213" s="7" t="str">
        <x:v>5ポート33日。シェアサイクル/デマンド/バス情報、MaaSアプリ連携なし。国交省スマートシティ支援とDNP自己投資。</x:v>
      </x:c>
      <x:c r="F213" s="7" t="str">
        <x:v>実証実施</x:v>
      </x:c>
      <x:c r="G213" s="7" t="str">
        <x:v>地域事例</x:v>
      </x:c>
      <x:c r="H213" s="7" t="str">
        <x:v>内閣府CSTI
NEDO
経済産業省
内閣府・総務省・デジタル庁等</x:v>
      </x:c>
      <x:c r="I213" s="7" t="str">
        <x:v>愛知県春日井市</x:v>
      </x:c>
      <x:c r="J213" s="7" t="str">
        <x:v>DIG-P04</x:v>
      </x:c>
      <x:c r="K213" s="18"/>
      <x:c r="L213" s="7" t="str">
        <x:v>2026（FY2025報告）</x:v>
      </x:c>
      <x:c r="M213" s="18" t="n">
        <x:v>46326</x:v>
      </x:c>
      <x:c r="N213" s="7" t="str">
        <x:v>S047</x:v>
      </x:c>
      <x:c r="O213" s="7" t="str">
        <x:v>https://sip3.nedo.go.jp/smartmobility/upload/docs/fff151fc3abc36822d34b4009cbc88f664668456.pdf</x:v>
      </x:c>
      <x:c r="P213" s="7" t="str"/>
      <x:c r="Q213" s="7" t="str">
        <x:v>EV-05e5997fa3af</x:v>
      </x:c>
      <x:c r="R213" s="7" t="str">
        <x:v>DIG-C14</x:v>
      </x:c>
      <x:c r="S213" s="20" t="n">
        <x:v>2023</x:v>
      </x:c>
      <x:c r="T213" s="20" t="n">
        <x:v>1</x:v>
      </x:c>
      <x:c r="U213" s="7" t="str">
        <x:v>暦年・暦月</x:v>
      </x:c>
      <x:c r="V213" s="18"/>
      <x:c r="W213" s="7" t="str">
        <x:v>SRC-2441cac973</x:v>
      </x:c>
      <x:c r="X213" s="7" t="str"/>
      <x:c r="Y213" s="20" t="n">
        <x:v>206</x:v>
      </x:c>
      <x:c r="Z213" s="7" t="str"/>
      <x:c r="AA213" s="7" t="str"/>
      <x:c r="AB213" s="7" t="str"/>
    </x:row>
    <x:row r="214" ht="40.400001525878906" customHeight="1">
      <x:c r="A214" s="7" t="str">
        <x:v>2023年2月1日</x:v>
      </x:c>
      <x:c r="B214" s="7" t="str">
        <x:v>日</x:v>
      </x:c>
      <x:c r="C214" s="7" t="str">
        <x:v>meti_kasugai</x:v>
      </x:c>
      <x:c r="D214" s="7" t="str">
        <x:v>石尾台おでかけサービス</x:v>
      </x:c>
      <x:c r="E214" s="7" t="str">
        <x:v>L2自動運転支援へ、5者協定</x:v>
      </x:c>
      <x:c r="F214" s="7" t="str">
        <x:v>実装変更</x:v>
      </x:c>
      <x:c r="G214" s="7" t="str">
        <x:v>地域事例</x:v>
      </x:c>
      <x:c r="H214" s="7" t="str">
        <x:v>経済産業省</x:v>
      </x:c>
      <x:c r="I214" s="7" t="str">
        <x:v>愛知県春日井市</x:v>
      </x:c>
      <x:c r="J214" s="7" t="str">
        <x:v>smc</x:v>
      </x:c>
      <x:c r="K214" s="18" t="n">
        <x:v>46153</x:v>
      </x:c>
      <x:c r="L214" s="7" t="str">
        <x:v>2026-05-11</x:v>
      </x:c>
      <x:c r="M214" s="18" t="n">
        <x:v>46326</x:v>
      </x:c>
      <x:c r="N214" s="7" t="str">
        <x:v>S071</x:v>
      </x:c>
      <x:c r="O214" s="7" t="str">
        <x:v>https://www.city.kasugai.lg.jp/shisei/machi/new_town/1022354/1024425/index.html</x:v>
      </x:c>
      <x:c r="P214" s="7" t="str"/>
      <x:c r="Q214" s="7" t="str">
        <x:v>EV-fd435d79e148</x:v>
      </x:c>
      <x:c r="R214" s="7" t="str">
        <x:v>meti_kasugai</x:v>
      </x:c>
      <x:c r="S214" s="20" t="n">
        <x:v>2023</x:v>
      </x:c>
      <x:c r="T214" s="20" t="n">
        <x:v>2</x:v>
      </x:c>
      <x:c r="U214" s="7" t="str">
        <x:v>暦年・暦月</x:v>
      </x:c>
      <x:c r="V214" s="18" t="n">
        <x:v>44958</x:v>
      </x:c>
      <x:c r="W214" s="7" t="str">
        <x:v>SRC-2f236bc8f2</x:v>
      </x:c>
      <x:c r="X214" s="7" t="str"/>
      <x:c r="Y214" s="20" t="n">
        <x:v>207</x:v>
      </x:c>
      <x:c r="Z214" s="7" t="str"/>
      <x:c r="AA214" s="7" t="str"/>
      <x:c r="AB214" s="7" t="str"/>
    </x:row>
    <x:row r="215" ht="40.400001525878906" customHeight="1">
      <x:c r="A215" s="7" t="str">
        <x:v>2023年3月</x:v>
      </x:c>
      <x:c r="B215" s="7" t="str">
        <x:v>月</x:v>
      </x:c>
      <x:c r="C215" s="7" t="str">
        <x:v>mlit_miyama</x:v>
      </x:c>
      <x:c r="D215" s="7" t="str">
        <x:v>みやま市山川 自動運転</x:v>
      </x:c>
      <x:c r="E215" s="7" t="str">
        <x:v>SIP終了後に車両等地域移管・県補助で市運行</x:v>
      </x:c>
      <x:c r="F215" s="7" t="str">
        <x:v>運営・財源変更</x:v>
      </x:c>
      <x:c r="G215" s="7" t="str">
        <x:v>地域事例</x:v>
      </x:c>
      <x:c r="H215" s="7" t="str">
        <x:v>国土交通省・SIP
国土交通省</x:v>
      </x:c>
      <x:c r="I215" s="7" t="str">
        <x:v>福岡県みやま市</x:v>
      </x:c>
      <x:c r="J215" s="7" t="str">
        <x:v>roadstation</x:v>
      </x:c>
      <x:c r="K215" s="18"/>
      <x:c r="L215" s="7" t="str"/>
      <x:c r="M215" s="18" t="n">
        <x:v>46326</x:v>
      </x:c>
      <x:c r="N215" s="7" t="str">
        <x:v>S093</x:v>
      </x:c>
      <x:c r="O215" s="7" t="str">
        <x:v>https://www.city.miyama.lg.jp/s068/kurashi/giandaiichigo.pdf</x:v>
      </x:c>
      <x:c r="P215" s="7" t="str"/>
      <x:c r="Q215" s="7" t="str">
        <x:v>EV-1c5289c6e7b3</x:v>
      </x:c>
      <x:c r="R215" s="7" t="str">
        <x:v>mlit_miyama</x:v>
      </x:c>
      <x:c r="S215" s="20" t="n">
        <x:v>2023</x:v>
      </x:c>
      <x:c r="T215" s="20" t="n">
        <x:v>3</x:v>
      </x:c>
      <x:c r="U215" s="7" t="str">
        <x:v>暦年・暦月</x:v>
      </x:c>
      <x:c r="V215" s="18"/>
      <x:c r="W215" s="7" t="str">
        <x:v>SRC-f2fb94be7b</x:v>
      </x:c>
      <x:c r="X215" s="7" t="str"/>
      <x:c r="Y215" s="20" t="n">
        <x:v>208</x:v>
      </x:c>
      <x:c r="Z215" s="7" t="str"/>
      <x:c r="AA215" s="7" t="str"/>
      <x:c r="AB215" s="7" t="str"/>
    </x:row>
    <x:row r="216" ht="40.400001525878906" customHeight="1">
      <x:c r="A216" s="7" t="str">
        <x:v>2023年3月15日</x:v>
      </x:c>
      <x:c r="B216" s="7" t="str">
        <x:v>日</x:v>
      </x:c>
      <x:c r="C216" s="7" t="str">
        <x:v>mlit_gunma</x:v>
      </x:c>
      <x:c r="D216" s="7" t="str">
        <x:v>MaeMaaSからGunMaaSへの移行と前橋 県域連携</x:v>
      </x:c>
      <x:c r="E216" s="7" t="str">
        <x:v>MaeMaaSからGunMaaSへ移行</x:v>
      </x:c>
      <x:c r="F216" s="7" t="str">
        <x:v>名称変更・広域統合</x:v>
      </x:c>
      <x:c r="G216" s="7" t="str">
        <x:v>地域事例</x:v>
      </x:c>
      <x:c r="H216" s="7" t="str">
        <x:v>国土交通省
横断検証（個別所管は資料参照）</x:v>
      </x:c>
      <x:c r="I216" s="7" t="str">
        <x:v>群馬県</x:v>
      </x:c>
      <x:c r="J216" s="7" t="str"/>
      <x:c r="K216" s="18"/>
      <x:c r="L216" s="7" t="str"/>
      <x:c r="M216" s="18" t="n">
        <x:v>46326</x:v>
      </x:c>
      <x:c r="N216" s="7" t="str">
        <x:v>S083</x:v>
      </x:c>
      <x:c r="O216" s="7" t="str">
        <x:v>https://www.city.maebashi.gunma.jp/material/files/group/7/R5gyouseihyoyukahoukokusyo.pdf</x:v>
      </x:c>
      <x:c r="P216" s="7" t="str"/>
      <x:c r="Q216" s="7" t="str">
        <x:v>EV-ef370c8b5077</x:v>
      </x:c>
      <x:c r="R216" s="7" t="str">
        <x:v>V-C10</x:v>
      </x:c>
      <x:c r="S216" s="20" t="n">
        <x:v>2023</x:v>
      </x:c>
      <x:c r="T216" s="20" t="n">
        <x:v>3</x:v>
      </x:c>
      <x:c r="U216" s="7" t="str">
        <x:v>暦年・暦月</x:v>
      </x:c>
      <x:c r="V216" s="18" t="n">
        <x:v>45000</x:v>
      </x:c>
      <x:c r="W216" s="7" t="str">
        <x:v>SRC-2f41ffbca3</x:v>
      </x:c>
      <x:c r="X216" s="7" t="str"/>
      <x:c r="Y216" s="20" t="n">
        <x:v>209</x:v>
      </x:c>
      <x:c r="Z216" s="7" t="str"/>
      <x:c r="AA216" s="7" t="str"/>
      <x:c r="AB216" s="7" t="str"/>
    </x:row>
    <x:row r="217" ht="139.8000030517578" customHeight="1">
      <x:c r="A217" s="7" t="str">
        <x:v>2023年3月30日</x:v>
      </x:c>
      <x:c r="B217" s="7" t="str">
        <x:v>日</x:v>
      </x:c>
      <x:c r="C217" s="7" t="str">
        <x:v>mlit_kamikoani</x:v>
      </x:c>
      <x:c r="D217" s="7" t="str">
        <x:v>道の駅かみこあに 自動運転サービス</x:v>
      </x:c>
      <x:c r="E217" s="7" t="str">
        <x:v>運休告知</x:v>
      </x:c>
      <x:c r="F217" s="7" t="str">
        <x:v>一時運休</x:v>
      </x:c>
      <x:c r="G217" s="7" t="str">
        <x:v>地域事例</x:v>
      </x:c>
      <x:c r="H217" s="7" t="str">
        <x:v>国土交通省・SIP
国土交通省道路局
内閣府SIP2
内閣府CSTI
NEDO
関係省庁
国土交通省
内閣府・総務省・デジタル庁等
横断検証（個別所管は資料参照）</x:v>
      </x:c>
      <x:c r="I217" s="7" t="str">
        <x:v>秋田県上小阿仁村</x:v>
      </x:c>
      <x:c r="J217" s="7" t="str">
        <x:v>roadstation</x:v>
      </x:c>
      <x:c r="K217" s="18"/>
      <x:c r="L217" s="7" t="str"/>
      <x:c r="M217" s="18" t="n">
        <x:v>46326</x:v>
      </x:c>
      <x:c r="N217" s="7" t="str">
        <x:v>S021</x:v>
      </x:c>
      <x:c r="O217" s="7" t="str">
        <x:v>https://michinoeki-kamikoani.jp/news_cat/</x:v>
      </x:c>
      <x:c r="P217" s="7" t="str"/>
      <x:c r="Q217" s="7" t="str">
        <x:v>EV-2909552a457d</x:v>
      </x:c>
      <x:c r="R217" s="7" t="str">
        <x:v>mlit_kamikoani</x:v>
      </x:c>
      <x:c r="S217" s="20" t="n">
        <x:v>2023</x:v>
      </x:c>
      <x:c r="T217" s="20" t="n">
        <x:v>3</x:v>
      </x:c>
      <x:c r="U217" s="7" t="str">
        <x:v>暦年・暦月</x:v>
      </x:c>
      <x:c r="V217" s="18" t="n">
        <x:v>45015</x:v>
      </x:c>
      <x:c r="W217" s="7" t="str">
        <x:v>SRC-5e7d755892</x:v>
      </x:c>
      <x:c r="X217" s="7" t="str"/>
      <x:c r="Y217" s="20" t="n">
        <x:v>210</x:v>
      </x:c>
      <x:c r="Z217" s="7" t="str"/>
      <x:c r="AA217" s="7" t="str"/>
      <x:c r="AB217" s="7" t="str"/>
    </x:row>
    <x:row r="218" ht="30" customHeight="1">
      <x:c r="A218" s="7" t="str">
        <x:v>2023年度</x:v>
      </x:c>
      <x:c r="B218" s="7" t="str">
        <x:v>年度</x:v>
      </x:c>
      <x:c r="C218" s="7" t="str">
        <x:v>OTHER-C05</x:v>
      </x:c>
      <x:c r="D218" s="7" t="str">
        <x:v>名張市 隠おたがいさん等生活支援</x:v>
      </x:c>
      <x:c r="E218" s="7" t="str">
        <x:v>市内11地域の生活移動支援を報告</x:v>
      </x:c>
      <x:c r="F218" s="7" t="str">
        <x:v>サービス報告</x:v>
      </x:c>
      <x:c r="G218" s="7" t="str">
        <x:v>地域事例</x:v>
      </x:c>
      <x:c r="H218" s="7" t="str">
        <x:v>その他府省・横断</x:v>
      </x:c>
      <x:c r="I218" s="7" t="str">
        <x:v>三重県名張市</x:v>
      </x:c>
      <x:c r="J218" s="7" t="str"/>
      <x:c r="K218" s="18" t="n">
        <x:v>46202</x:v>
      </x:c>
      <x:c r="L218" s="7" t="str">
        <x:v>2026-06-29</x:v>
      </x:c>
      <x:c r="M218" s="18" t="n">
        <x:v>46326</x:v>
      </x:c>
      <x:c r="N218" s="7" t="str">
        <x:v>S339</x:v>
      </x:c>
      <x:c r="O218" s="7" t="str">
        <x:v>https://wwwtb.mlit.go.jp/kanto/content/000378309.pdf</x:v>
      </x:c>
      <x:c r="P218" s="7" t="str"/>
      <x:c r="Q218" s="7" t="str">
        <x:v>EV-026ed1f061c3</x:v>
      </x:c>
      <x:c r="R218" s="7" t="str">
        <x:v>OTHER-C05</x:v>
      </x:c>
      <x:c r="S218" s="20" t="n">
        <x:v>2023</x:v>
      </x:c>
      <x:c r="T218" s="20" t="n">
        <x:v>4</x:v>
      </x:c>
      <x:c r="U218" s="7" t="str">
        <x:v>年度・年度末</x:v>
      </x:c>
      <x:c r="V218" s="18"/>
      <x:c r="W218" s="7" t="str">
        <x:v>SRC-ade126a9f0</x:v>
      </x:c>
      <x:c r="X218" s="7" t="str"/>
      <x:c r="Y218" s="20" t="n">
        <x:v>211</x:v>
      </x:c>
      <x:c r="Z218" s="7" t="str"/>
      <x:c r="AA218" s="7" t="str"/>
      <x:c r="AB218" s="7" t="str"/>
    </x:row>
    <x:row r="219" ht="54.599998474121094" customHeight="1">
      <x:c r="A219" s="7" t="str">
        <x:v>2023年度</x:v>
      </x:c>
      <x:c r="B219" s="7" t="str">
        <x:v>年度</x:v>
      </x:c>
      <x:c r="C219" s="7" t="str">
        <x:v>meti_mitoyo</x:v>
      </x:c>
      <x:c r="D219" s="7" t="str">
        <x:v>ゴイッショみとよ共同送迎</x:v>
      </x:c>
      <x:c r="E219" s="7" t="str">
        <x:v>2法人2施設のまま、登録90人・3,140回と報告</x:v>
      </x:c>
      <x:c r="F219" s="7" t="str">
        <x:v>運行実績</x:v>
      </x:c>
      <x:c r="G219" s="7" t="str">
        <x:v>地域事例</x:v>
      </x:c>
      <x:c r="H219" s="7" t="str">
        <x:v>経済産業省</x:v>
      </x:c>
      <x:c r="I219" s="7" t="str">
        <x:v>香川県三豊市</x:v>
      </x:c>
      <x:c r="J219" s="7" t="str">
        <x:v>smc</x:v>
      </x:c>
      <x:c r="K219" s="18"/>
      <x:c r="L219" s="7" t="str"/>
      <x:c r="M219" s="18" t="n">
        <x:v>46326</x:v>
      </x:c>
      <x:c r="N219" s="7" t="str">
        <x:v>S218</x:v>
      </x:c>
      <x:c r="O219" s="7" t="str">
        <x:v>https://www.mitoyoshakyo.or.jp/archives/014/202407/%E2%98%85HP%E2%98%85R%EF%BC%95%E5%B9%B4%E5%BA%A6%E4%BA%8B%E6%A5%AD%E5%A0%B1%E5%91%8A%E6%9B%B8.pdf</x:v>
      </x:c>
      <x:c r="P219" s="7" t="str"/>
      <x:c r="Q219" s="7" t="str">
        <x:v>EV-14591aab2f5e</x:v>
      </x:c>
      <x:c r="R219" s="7" t="str">
        <x:v>meti_mitoyo</x:v>
      </x:c>
      <x:c r="S219" s="20" t="n">
        <x:v>2023</x:v>
      </x:c>
      <x:c r="T219" s="20" t="n">
        <x:v>4</x:v>
      </x:c>
      <x:c r="U219" s="7" t="str">
        <x:v>年度・年度末</x:v>
      </x:c>
      <x:c r="V219" s="18"/>
      <x:c r="W219" s="7" t="str">
        <x:v>SRC-904a5fb434</x:v>
      </x:c>
      <x:c r="X219" s="7" t="str"/>
      <x:c r="Y219" s="20" t="n">
        <x:v>212</x:v>
      </x:c>
      <x:c r="Z219" s="7" t="str"/>
      <x:c r="AA219" s="7" t="str"/>
      <x:c r="AB219" s="7" t="str"/>
    </x:row>
    <x:row r="220" ht="40.400001525878906" customHeight="1">
      <x:c r="A220" s="7" t="str">
        <x:v>2023年度</x:v>
      </x:c>
      <x:c r="B220" s="7" t="str">
        <x:v>年度</x:v>
      </x:c>
      <x:c r="C220" s="7" t="str">
        <x:v>meti_hitachi</x:v>
      </x:c>
      <x:c r="D220" s="7" t="str">
        <x:v>ひたちBRT L4</x:v>
      </x:c>
      <x:c r="E220" s="7" t="str">
        <x:v>運行事業関係者をコンソーシアムに追加</x:v>
      </x:c>
      <x:c r="F220" s="7" t="str">
        <x:v>体制変更</x:v>
      </x:c>
      <x:c r="G220" s="7" t="str">
        <x:v>地域事例</x:v>
      </x:c>
      <x:c r="H220" s="7" t="str">
        <x:v>経済産業省</x:v>
      </x:c>
      <x:c r="I220" s="7" t="str">
        <x:v>茨城県日立市</x:v>
      </x:c>
      <x:c r="J220" s="7" t="str">
        <x:v>lastmile
roadl4</x:v>
      </x:c>
      <x:c r="K220" s="18" t="n">
        <x:v>46086</x:v>
      </x:c>
      <x:c r="L220" s="7" t="str">
        <x:v>2026-03-05</x:v>
      </x:c>
      <x:c r="M220" s="18" t="n">
        <x:v>46326</x:v>
      </x:c>
      <x:c r="N220" s="7" t="str">
        <x:v>S310</x:v>
      </x:c>
      <x:c r="O220" s="7" t="str">
        <x:v>https://www.road-to-the-l4.go.jp/publication/pdf/02-3_theme02_20260305.pdf</x:v>
      </x:c>
      <x:c r="P220" s="7" t="str"/>
      <x:c r="Q220" s="7" t="str">
        <x:v>EV-1aa3454b869b</x:v>
      </x:c>
      <x:c r="R220" s="7" t="str">
        <x:v>meti_hitachi</x:v>
      </x:c>
      <x:c r="S220" s="20" t="n">
        <x:v>2023</x:v>
      </x:c>
      <x:c r="T220" s="20" t="n">
        <x:v>4</x:v>
      </x:c>
      <x:c r="U220" s="7" t="str">
        <x:v>年度・年度末</x:v>
      </x:c>
      <x:c r="V220" s="18"/>
      <x:c r="W220" s="7" t="str">
        <x:v>SRC-615a2d613e</x:v>
      </x:c>
      <x:c r="X220" s="7" t="str"/>
      <x:c r="Y220" s="20" t="n">
        <x:v>213</x:v>
      </x:c>
      <x:c r="Z220" s="7" t="str"/>
      <x:c r="AA220" s="7" t="str"/>
      <x:c r="AB220" s="7" t="str"/>
    </x:row>
    <x:row r="221" ht="40.400001525878906" customHeight="1">
      <x:c r="A221" s="7" t="str">
        <x:v>2023年度</x:v>
      </x:c>
      <x:c r="B221" s="7" t="str">
        <x:v>年度</x:v>
      </x:c>
      <x:c r="C221" s="7" t="str">
        <x:v>meti_mie6</x:v>
      </x:c>
      <x:c r="D221" s="7" t="str">
        <x:v>三重6町 医療MaaS</x:v>
      </x:c>
      <x:c r="E221" s="7" t="str">
        <x:v>継続採択事例として掲載</x:v>
      </x:c>
      <x:c r="F221" s="7" t="str">
        <x:v>実証</x:v>
      </x:c>
      <x:c r="G221" s="7" t="str">
        <x:v>地域事例</x:v>
      </x:c>
      <x:c r="H221" s="7" t="str">
        <x:v>経済産業省</x:v>
      </x:c>
      <x:c r="I221" s="7" t="str">
        <x:v>三重県多気・大台・明和・度会・大紀・紀北町</x:v>
      </x:c>
      <x:c r="J221" s="7" t="str">
        <x:v>smc</x:v>
      </x:c>
      <x:c r="K221" s="18"/>
      <x:c r="L221" s="7" t="str"/>
      <x:c r="M221" s="18" t="n">
        <x:v>46326</x:v>
      </x:c>
      <x:c r="N221" s="7" t="str">
        <x:v>S281</x:v>
      </x:c>
      <x:c r="O221" s="7" t="str">
        <x:v>https://www.mobilitychallenge.go.jp/introduction/</x:v>
      </x:c>
      <x:c r="P221" s="7" t="str"/>
      <x:c r="Q221" s="7" t="str">
        <x:v>EV-2279ad8ea33b</x:v>
      </x:c>
      <x:c r="R221" s="7" t="str">
        <x:v>meti_mie6</x:v>
      </x:c>
      <x:c r="S221" s="20" t="n">
        <x:v>2023</x:v>
      </x:c>
      <x:c r="T221" s="20" t="n">
        <x:v>4</x:v>
      </x:c>
      <x:c r="U221" s="7" t="str">
        <x:v>年度・年度末</x:v>
      </x:c>
      <x:c r="V221" s="18"/>
      <x:c r="W221" s="7" t="str">
        <x:v>SRC-ac2f0f15e2</x:v>
      </x:c>
      <x:c r="X221" s="7" t="str"/>
      <x:c r="Y221" s="20" t="n">
        <x:v>214</x:v>
      </x:c>
      <x:c r="Z221" s="7" t="str"/>
      <x:c r="AA221" s="7" t="str"/>
      <x:c r="AB221" s="7" t="str"/>
    </x:row>
    <x:row r="222" ht="40.400001525878906" customHeight="1">
      <x:c r="A222" s="7" t="str">
        <x:v>2023年度</x:v>
      </x:c>
      <x:c r="B222" s="7" t="str">
        <x:v>年度</x:v>
      </x:c>
      <x:c r="C222" s="7" t="str">
        <x:v>V-C12</x:v>
      </x:c>
      <x:c r="D222" s="7" t="str">
        <x:v>西米良村ホイホイ便</x:v>
      </x:c>
      <x:c r="E222" s="7" t="str">
        <x:v>年度配達13645件：郵便12998+ヤマト523+佐川124。議会資料の実績年度</x:v>
      </x:c>
      <x:c r="F222" s="7" t="str">
        <x:v>継続実績</x:v>
      </x:c>
      <x:c r="G222" s="7" t="str">
        <x:v>地域事例</x:v>
      </x:c>
      <x:c r="H222" s="7" t="str">
        <x:v>横断検証（個別所管は資料参照）</x:v>
      </x:c>
      <x:c r="I222" s="7" t="str">
        <x:v>宮崎県西米良村</x:v>
      </x:c>
      <x:c r="J222" s="7" t="str"/>
      <x:c r="K222" s="18" t="str">
        <x:v>2025-05</x:v>
      </x:c>
      <x:c r="L222" s="7" t="str">
        <x:v>2025-05</x:v>
      </x:c>
      <x:c r="M222" s="18" t="n">
        <x:v>46326</x:v>
      </x:c>
      <x:c r="N222" s="7" t="str">
        <x:v>S328</x:v>
      </x:c>
      <x:c r="O222" s="7" t="str">
        <x:v>https://www.vill.nishimera.lg.jp/village/wp-content/uploads/2025/05/572c1c96ddd3355751b12ba7b75fecb6.pdf</x:v>
      </x:c>
      <x:c r="P222" s="7" t="str"/>
      <x:c r="Q222" s="7" t="str">
        <x:v>EV-2454afd1ff00</x:v>
      </x:c>
      <x:c r="R222" s="7" t="str">
        <x:v>V-C12</x:v>
      </x:c>
      <x:c r="S222" s="20" t="n">
        <x:v>2023</x:v>
      </x:c>
      <x:c r="T222" s="20" t="n">
        <x:v>4</x:v>
      </x:c>
      <x:c r="U222" s="7" t="str">
        <x:v>年度・年度末</x:v>
      </x:c>
      <x:c r="V222" s="18"/>
      <x:c r="W222" s="7" t="str">
        <x:v>SRC-ad429ac9cf</x:v>
      </x:c>
      <x:c r="X222" s="7" t="str"/>
      <x:c r="Y222" s="20" t="n">
        <x:v>215</x:v>
      </x:c>
      <x:c r="Z222" s="7" t="str"/>
      <x:c r="AA222" s="7" t="str"/>
      <x:c r="AB222" s="7" t="str"/>
    </x:row>
    <x:row r="223" ht="68.80000305175781" customHeight="1">
      <x:c r="A223" s="7" t="str">
        <x:v>2023年度</x:v>
      </x:c>
      <x:c r="B223" s="7" t="str">
        <x:v>年度</x:v>
      </x:c>
      <x:c r="C223" s="7" t="str">
        <x:v>DIG-C17</x:v>
      </x:c>
      <x:c r="D223" s="7" t="str">
        <x:v>仁淀川町：外出目的創出とくるりんバス</x:v>
      </x:c>
      <x:c r="E223" s="7" t="str">
        <x:v>既存バスの利用・補助費/人等を整理。新サービスの費用対効果ではない。</x:v>
      </x:c>
      <x:c r="F223" s="7" t="str">
        <x:v>基準値確認</x:v>
      </x:c>
      <x:c r="G223" s="7" t="str">
        <x:v>地域事例</x:v>
      </x:c>
      <x:c r="H223" s="7" t="str">
        <x:v>内閣府CSTI
NEDO
経済産業省
内閣府・総務省・デジタル庁等</x:v>
      </x:c>
      <x:c r="I223" s="7" t="str">
        <x:v>高知県仁淀川町</x:v>
      </x:c>
      <x:c r="J223" s="7" t="str">
        <x:v>DIG-P04</x:v>
      </x:c>
      <x:c r="K223" s="18" t="str">
        <x:v>2026-03</x:v>
      </x:c>
      <x:c r="L223" s="7" t="str">
        <x:v>2026-03</x:v>
      </x:c>
      <x:c r="M223" s="18" t="n">
        <x:v>46326</x:v>
      </x:c>
      <x:c r="N223" s="7" t="str">
        <x:v>S045</x:v>
      </x:c>
      <x:c r="O223" s="7" t="str">
        <x:v>https://sip3.nedo.go.jp/smartmobility/upload/docs/7650a0e5fb857f859b853f1d600af61154d13e30.pdf</x:v>
      </x:c>
      <x:c r="P223" s="7" t="str"/>
      <x:c r="Q223" s="7" t="str">
        <x:v>EV-2a8626b9fd2d</x:v>
      </x:c>
      <x:c r="R223" s="7" t="str">
        <x:v>DIG-C17</x:v>
      </x:c>
      <x:c r="S223" s="20" t="n">
        <x:v>2023</x:v>
      </x:c>
      <x:c r="T223" s="20" t="n">
        <x:v>4</x:v>
      </x:c>
      <x:c r="U223" s="7" t="str">
        <x:v>年度・年度末</x:v>
      </x:c>
      <x:c r="V223" s="18"/>
      <x:c r="W223" s="7" t="str">
        <x:v>SRC-f420e4751a</x:v>
      </x:c>
      <x:c r="X223" s="7" t="str"/>
      <x:c r="Y223" s="20" t="n">
        <x:v>216</x:v>
      </x:c>
      <x:c r="Z223" s="7" t="str"/>
      <x:c r="AA223" s="7" t="str"/>
      <x:c r="AB223" s="7" t="str"/>
    </x:row>
    <x:row r="224" ht="30" customHeight="1">
      <x:c r="A224" s="7" t="str">
        <x:v>2023年度</x:v>
      </x:c>
      <x:c r="B224" s="7" t="str">
        <x:v>年度</x:v>
      </x:c>
      <x:c r="C224" s="7" t="str">
        <x:v>ENV-C10</x:v>
      </x:c>
      <x:c r="D224" s="7" t="str">
        <x:v>山間地域EVスクールバス・学校太陽光連携</x:v>
      </x:c>
      <x:c r="E224" s="7" t="str">
        <x:v>3年度実証の最終年度</x:v>
      </x:c>
      <x:c r="F224" s="7" t="str">
        <x:v>実証終了</x:v>
      </x:c>
      <x:c r="G224" s="7" t="str">
        <x:v>地域事例</x:v>
      </x:c>
      <x:c r="H224" s="7" t="str">
        <x:v>環境省</x:v>
      </x:c>
      <x:c r="I224" s="7" t="str">
        <x:v>熊本県球磨村</x:v>
      </x:c>
      <x:c r="J224" s="7" t="str"/>
      <x:c r="K224" s="18"/>
      <x:c r="L224" s="7" t="str">
        <x:v>2024年（2021～2023年度成果）</x:v>
      </x:c>
      <x:c r="M224" s="18" t="n">
        <x:v>46326</x:v>
      </x:c>
      <x:c r="N224" s="7" t="str">
        <x:v>S147</x:v>
      </x:c>
      <x:c r="O224" s="7" t="str">
        <x:v>https://www.env.go.jp/content/000254037.pdf</x:v>
      </x:c>
      <x:c r="P224" s="7" t="str"/>
      <x:c r="Q224" s="7" t="str">
        <x:v>EV-514bda19d20c</x:v>
      </x:c>
      <x:c r="R224" s="7" t="str">
        <x:v>ENV-C10</x:v>
      </x:c>
      <x:c r="S224" s="20" t="n">
        <x:v>2023</x:v>
      </x:c>
      <x:c r="T224" s="20" t="n">
        <x:v>4</x:v>
      </x:c>
      <x:c r="U224" s="7" t="str">
        <x:v>年度・年度末</x:v>
      </x:c>
      <x:c r="V224" s="18"/>
      <x:c r="W224" s="7" t="str">
        <x:v>SRC-d1c42a88c8</x:v>
      </x:c>
      <x:c r="X224" s="7" t="str"/>
      <x:c r="Y224" s="20" t="n">
        <x:v>217</x:v>
      </x:c>
      <x:c r="Z224" s="7" t="str"/>
      <x:c r="AA224" s="7" t="str"/>
      <x:c r="AB224" s="7" t="str"/>
    </x:row>
    <x:row r="225" ht="125.5999984741211" customHeight="1">
      <x:c r="A225" s="7" t="str">
        <x:v>2023年度</x:v>
      </x:c>
      <x:c r="B225" s="7" t="str">
        <x:v>年度</x:v>
      </x:c>
      <x:c r="C225" s="7" t="str">
        <x:v>DIG-C03</x:v>
      </x:c>
      <x:c r="D225" s="7" t="str">
        <x:v>前橋駅～中央前橋駅5G遠隔監視／路車協調</x:v>
      </x:c>
      <x:c r="E225" s="7" t="str">
        <x:v>デジ田等で整備した路側設備を翌年度の通信検証に継続利用する経緯。</x:v>
      </x:c>
      <x:c r="F225" s="7" t="str">
        <x:v>設備再利用</x:v>
      </x:c>
      <x:c r="G225" s="7" t="str">
        <x:v>地域事例</x:v>
      </x:c>
      <x:c r="H225" s="7" t="str">
        <x:v>総務省
事務局
地域コンソーシアム
三菱総合研究所（事務局）
内閣官房・内閣府地方創生
デジタル庁（基盤・実装支援）
地方自治体
内閣府・総務省・デジタル庁等</x:v>
      </x:c>
      <x:c r="I225" s="7" t="str">
        <x:v>群馬県前橋市（R6は中之条町共同）</x:v>
      </x:c>
      <x:c r="J225" s="7" t="str">
        <x:v>DIG-P14
DIG-P15
DIG-P12</x:v>
      </x:c>
      <x:c r="K225" s="18"/>
      <x:c r="L225" s="7" t="str">
        <x:v>2025-07-14公開</x:v>
      </x:c>
      <x:c r="M225" s="18" t="n">
        <x:v>46326</x:v>
      </x:c>
      <x:c r="N225" s="7" t="str">
        <x:v>S029</x:v>
      </x:c>
      <x:c r="O225" s="7" t="str">
        <x:v>https://pubpjt.mri.co.jp/pjt_related/rcsad-info/eqghpc000000030i-att/20250714rcsad-info_houkoku_gunma_maebashi_nakanojo.pdf</x:v>
      </x:c>
      <x:c r="P225" s="7" t="str"/>
      <x:c r="Q225" s="7" t="str">
        <x:v>EV-5951831fd817</x:v>
      </x:c>
      <x:c r="R225" s="7" t="str">
        <x:v>DIG-C03</x:v>
      </x:c>
      <x:c r="S225" s="20" t="n">
        <x:v>2023</x:v>
      </x:c>
      <x:c r="T225" s="20" t="n">
        <x:v>4</x:v>
      </x:c>
      <x:c r="U225" s="7" t="str">
        <x:v>年度・年度末</x:v>
      </x:c>
      <x:c r="V225" s="18"/>
      <x:c r="W225" s="7" t="str">
        <x:v>SRC-c3999aa7a9</x:v>
      </x:c>
      <x:c r="X225" s="7" t="str"/>
      <x:c r="Y225" s="20" t="n">
        <x:v>218</x:v>
      </x:c>
      <x:c r="Z225" s="7" t="str"/>
      <x:c r="AA225" s="7" t="str"/>
      <x:c r="AB225" s="7" t="str"/>
    </x:row>
    <x:row r="226" ht="40.400001525878906" customHeight="1">
      <x:c r="A226" s="7" t="str">
        <x:v>2023年度</x:v>
      </x:c>
      <x:c r="B226" s="7" t="str">
        <x:v>年度</x:v>
      </x:c>
      <x:c r="C226" s="7" t="str">
        <x:v>V-C07</x:v>
      </x:c>
      <x:c r="D226" s="7" t="str">
        <x:v>伊那市モバイルクリニック</x:v>
      </x:c>
      <x:c r="E226" s="7" t="str">
        <x:v>原著対象19人81診療。訪問診療との併用が多い</x:v>
      </x:c>
      <x:c r="F226" s="7" t="str">
        <x:v>診療実績</x:v>
      </x:c>
      <x:c r="G226" s="7" t="str">
        <x:v>地域事例</x:v>
      </x:c>
      <x:c r="H226" s="7" t="str">
        <x:v>横断検証（個別所管は資料参照）</x:v>
      </x:c>
      <x:c r="I226" s="7" t="str">
        <x:v>長野県伊那市</x:v>
      </x:c>
      <x:c r="J226" s="7" t="str"/>
      <x:c r="K226" s="18"/>
      <x:c r="L226" s="7" t="str"/>
      <x:c r="M226" s="18" t="n">
        <x:v>46326</x:v>
      </x:c>
      <x:c r="N226" s="7" t="str">
        <x:v>S187</x:v>
      </x:c>
      <x:c r="O226" s="7" t="str">
        <x:v>https://www.jstage.jst.go.jp/article/jjrm/75/1/75_37/_article/-char/ja</x:v>
      </x:c>
      <x:c r="P226" s="7" t="str"/>
      <x:c r="Q226" s="7" t="str">
        <x:v>EV-5a5f5fcab131</x:v>
      </x:c>
      <x:c r="R226" s="7" t="str">
        <x:v>V-C07</x:v>
      </x:c>
      <x:c r="S226" s="20" t="n">
        <x:v>2023</x:v>
      </x:c>
      <x:c r="T226" s="20" t="n">
        <x:v>4</x:v>
      </x:c>
      <x:c r="U226" s="7" t="str">
        <x:v>年度・年度末</x:v>
      </x:c>
      <x:c r="V226" s="18"/>
      <x:c r="W226" s="7" t="str">
        <x:v>SRC-e70b6bf666</x:v>
      </x:c>
      <x:c r="X226" s="7" t="str"/>
      <x:c r="Y226" s="20" t="n">
        <x:v>219</x:v>
      </x:c>
      <x:c r="Z226" s="7" t="str"/>
      <x:c r="AA226" s="7" t="str"/>
      <x:c r="AB226" s="7" t="str"/>
    </x:row>
    <x:row r="227" ht="40.400001525878906" customHeight="1">
      <x:c r="A227" s="7" t="str">
        <x:v>2023年度</x:v>
      </x:c>
      <x:c r="B227" s="7" t="str">
        <x:v>年度</x:v>
      </x:c>
      <x:c r="C227" s="7" t="str">
        <x:v>V-C08</x:v>
      </x:c>
      <x:c r="D227" s="7" t="str">
        <x:v>相模原グリーンスローモビリティ</x:v>
      </x:c>
      <x:c r="E227" s="7" t="str">
        <x:v>地域実証</x:v>
      </x:c>
      <x:c r="F227" s="7" t="str">
        <x:v>短期実証</x:v>
      </x:c>
      <x:c r="G227" s="7" t="str">
        <x:v>地域事例</x:v>
      </x:c>
      <x:c r="H227" s="7" t="str">
        <x:v>横断検証（個別所管は資料参照）</x:v>
      </x:c>
      <x:c r="I227" s="7" t="str">
        <x:v>神奈川県相模原市</x:v>
      </x:c>
      <x:c r="J227" s="7" t="str"/>
      <x:c r="K227" s="18"/>
      <x:c r="L227" s="7" t="str"/>
      <x:c r="M227" s="18" t="n">
        <x:v>46326</x:v>
      </x:c>
      <x:c r="N227" s="7" t="str">
        <x:v>S102</x:v>
      </x:c>
      <x:c r="O227" s="7" t="str">
        <x:v>https://www.city.sagamihara.kanagawa.jp/shisei/1026823/toshikotsu/1029044.html</x:v>
      </x:c>
      <x:c r="P227" s="7" t="str"/>
      <x:c r="Q227" s="7" t="str">
        <x:v>EV-737342f87e74</x:v>
      </x:c>
      <x:c r="R227" s="7" t="str">
        <x:v>V-C08</x:v>
      </x:c>
      <x:c r="S227" s="20" t="n">
        <x:v>2023</x:v>
      </x:c>
      <x:c r="T227" s="20" t="n">
        <x:v>4</x:v>
      </x:c>
      <x:c r="U227" s="7" t="str">
        <x:v>年度・年度末</x:v>
      </x:c>
      <x:c r="V227" s="18"/>
      <x:c r="W227" s="7" t="str">
        <x:v>SRC-8a018442fd</x:v>
      </x:c>
      <x:c r="X227" s="7" t="str"/>
      <x:c r="Y227" s="20" t="n">
        <x:v>220</x:v>
      </x:c>
      <x:c r="Z227" s="7" t="str"/>
      <x:c r="AA227" s="7" t="str"/>
      <x:c r="AB227" s="7" t="str"/>
    </x:row>
    <x:row r="228" ht="30" customHeight="1">
      <x:c r="A228" s="7" t="str">
        <x:v>2023年度</x:v>
      </x:c>
      <x:c r="B228" s="7" t="str">
        <x:v>年度</x:v>
      </x:c>
      <x:c r="C228" s="7" t="str">
        <x:v>OTHER-C04</x:v>
      </x:c>
      <x:c r="D228" s="7" t="str">
        <x:v>大館市 ひないホッとライフ</x:v>
      </x:c>
      <x:c r="E228" s="7" t="str">
        <x:v>市内1か所の訪問型B買物支援を把握</x:v>
      </x:c>
      <x:c r="F228" s="7" t="str">
        <x:v>サービス報告</x:v>
      </x:c>
      <x:c r="G228" s="7" t="str">
        <x:v>地域事例</x:v>
      </x:c>
      <x:c r="H228" s="7" t="str">
        <x:v>その他府省・横断</x:v>
      </x:c>
      <x:c r="I228" s="7" t="str">
        <x:v>秋田県大館市</x:v>
      </x:c>
      <x:c r="J228" s="7" t="str"/>
      <x:c r="K228" s="18" t="n">
        <x:v>46202</x:v>
      </x:c>
      <x:c r="L228" s="7" t="str">
        <x:v>2026-06-29</x:v>
      </x:c>
      <x:c r="M228" s="18" t="n">
        <x:v>46326</x:v>
      </x:c>
      <x:c r="N228" s="7" t="str">
        <x:v>S339</x:v>
      </x:c>
      <x:c r="O228" s="7" t="str">
        <x:v>https://wwwtb.mlit.go.jp/kanto/content/000378309.pdf</x:v>
      </x:c>
      <x:c r="P228" s="7" t="str"/>
      <x:c r="Q228" s="7" t="str">
        <x:v>EV-75b1d6e242a2</x:v>
      </x:c>
      <x:c r="R228" s="7" t="str">
        <x:v>OTHER-C04</x:v>
      </x:c>
      <x:c r="S228" s="20" t="n">
        <x:v>2023</x:v>
      </x:c>
      <x:c r="T228" s="20" t="n">
        <x:v>4</x:v>
      </x:c>
      <x:c r="U228" s="7" t="str">
        <x:v>年度・年度末</x:v>
      </x:c>
      <x:c r="V228" s="18"/>
      <x:c r="W228" s="7" t="str">
        <x:v>SRC-ade126a9f0</x:v>
      </x:c>
      <x:c r="X228" s="7" t="str"/>
      <x:c r="Y228" s="20" t="n">
        <x:v>221</x:v>
      </x:c>
      <x:c r="Z228" s="7" t="str"/>
      <x:c r="AA228" s="7" t="str"/>
      <x:c r="AB228" s="7" t="str"/>
    </x:row>
    <x:row r="229" ht="40.400001525878906" customHeight="1">
      <x:c r="A229" s="7" t="str">
        <x:v>2023年度</x:v>
      </x:c>
      <x:c r="B229" s="7" t="str">
        <x:v>年度</x:v>
      </x:c>
      <x:c r="C229" s="7" t="str">
        <x:v>ENV-C11</x:v>
      </x:c>
      <x:c r="D229" s="7" t="str">
        <x:v>LRT沿線のEVバス・地域交通脱炭素化</x:v>
      </x:c>
      <x:c r="E229" s="7" t="str">
        <x:v>EVバス5台導入</x:v>
      </x:c>
      <x:c r="F229" s="7" t="str">
        <x:v>実装</x:v>
      </x:c>
      <x:c r="G229" s="7" t="str">
        <x:v>地域事例</x:v>
      </x:c>
      <x:c r="H229" s="7" t="str">
        <x:v>環境省</x:v>
      </x:c>
      <x:c r="I229" s="7" t="str">
        <x:v>栃木県宇都宮市・芳賀町</x:v>
      </x:c>
      <x:c r="J229" s="7" t="str"/>
      <x:c r="K229" s="18"/>
      <x:c r="L229" s="7" t="str">
        <x:v>2025年（2024年度実績）</x:v>
      </x:c>
      <x:c r="M229" s="18" t="n">
        <x:v>46326</x:v>
      </x:c>
      <x:c r="N229" s="7" t="str">
        <x:v>S025</x:v>
      </x:c>
      <x:c r="O229" s="7" t="str">
        <x:v>https://policies.env.go.jp/policy/roadmap/assets/preceding-region/kanto-R6-shinchoku-joukyou-hokokusyo-02.pdf#page=1</x:v>
      </x:c>
      <x:c r="P229" s="7" t="str"/>
      <x:c r="Q229" s="7" t="str">
        <x:v>EV-76ed2b9abbb8</x:v>
      </x:c>
      <x:c r="R229" s="7" t="str">
        <x:v>ENV-C11</x:v>
      </x:c>
      <x:c r="S229" s="20" t="n">
        <x:v>2023</x:v>
      </x:c>
      <x:c r="T229" s="20" t="n">
        <x:v>4</x:v>
      </x:c>
      <x:c r="U229" s="7" t="str">
        <x:v>年度・年度末</x:v>
      </x:c>
      <x:c r="V229" s="18"/>
      <x:c r="W229" s="7" t="str">
        <x:v>SRC-8004a9d509</x:v>
      </x:c>
      <x:c r="X229" s="7" t="str"/>
      <x:c r="Y229" s="20" t="n">
        <x:v>222</x:v>
      </x:c>
      <x:c r="Z229" s="7" t="str"/>
      <x:c r="AA229" s="7" t="str"/>
      <x:c r="AB229" s="7" t="str"/>
    </x:row>
    <x:row r="230" ht="30" customHeight="1">
      <x:c r="A230" s="7" t="str">
        <x:v>2023年度</x:v>
      </x:c>
      <x:c r="B230" s="7" t="str">
        <x:v>年度</x:v>
      </x:c>
      <x:c r="C230" s="7" t="str">
        <x:v>ENV-P06</x:v>
      </x:c>
      <x:c r="D230" s="7" t="str">
        <x:v>商用車等の電動化促進（環境・国交・経産連携）</x:v>
      </x:c>
      <x:c r="E230" s="7" t="str">
        <x:v>環境省 国交省 経産省連携の商用車等の電動化支援が始まる。車両と充電設備を組み合わせる。</x:v>
      </x:c>
      <x:c r="F230" s="7" t="str">
        <x:v>制度開始</x:v>
      </x:c>
      <x:c r="G230" s="7" t="str">
        <x:v>政策制度</x:v>
      </x:c>
      <x:c r="H230" s="7" t="str">
        <x:v>環境省</x:v>
      </x:c>
      <x:c r="I230" s="7" t="str"/>
      <x:c r="J230" s="7" t="str">
        <x:v>ENV-P06</x:v>
      </x:c>
      <x:c r="K230" s="18"/>
      <x:c r="L230" s="7" t="str">
        <x:v>2025年度補正</x:v>
      </x:c>
      <x:c r="M230" s="18" t="n">
        <x:v>46326</x:v>
      </x:c>
      <x:c r="N230" s="7" t="str">
        <x:v>S149</x:v>
      </x:c>
      <x:c r="O230" s="7" t="str">
        <x:v>https://www.env.go.jp/content/000356399.pdf</x:v>
      </x:c>
      <x:c r="P230" s="7" t="str"/>
      <x:c r="Q230" s="7" t="str">
        <x:v>EV-9333aa43a408</x:v>
      </x:c>
      <x:c r="R230" s="7" t="str">
        <x:v>integrated</x:v>
      </x:c>
      <x:c r="S230" s="20" t="n">
        <x:v>2023</x:v>
      </x:c>
      <x:c r="T230" s="20" t="n">
        <x:v>4</x:v>
      </x:c>
      <x:c r="U230" s="7" t="str">
        <x:v>年度・年度末</x:v>
      </x:c>
      <x:c r="V230" s="18"/>
      <x:c r="W230" s="7" t="str">
        <x:v>SRC-194d232a22</x:v>
      </x:c>
      <x:c r="X230" s="7" t="str"/>
      <x:c r="Y230" s="20" t="n">
        <x:v>223</x:v>
      </x:c>
      <x:c r="Z230" s="7" t="str"/>
      <x:c r="AA230" s="7" t="str"/>
      <x:c r="AB230" s="7" t="str"/>
    </x:row>
    <x:row r="231" ht="54.599998474121094" customHeight="1">
      <x:c r="A231" s="7" t="str">
        <x:v>2023年度</x:v>
      </x:c>
      <x:c r="B231" s="7" t="str">
        <x:v>年度</x:v>
      </x:c>
      <x:c r="C231" s="7" t="str">
        <x:v>DIG-P04</x:v>
      </x:c>
      <x:c r="D231" s="7" t="str">
        <x:v>SIP第3期 スマートモビリティプラットフォームの構築</x:v>
      </x:c>
      <x:c r="E231" s="7" t="str">
        <x:v>第3期開始、車両技術だけでなく地域交通再設計・福祉・まち・データを統合。</x:v>
      </x:c>
      <x:c r="F231" s="7" t="str">
        <x:v>事業開始</x:v>
      </x:c>
      <x:c r="G231" s="7" t="str">
        <x:v>政策制度</x:v>
      </x:c>
      <x:c r="H231" s="7" t="str">
        <x:v>内閣府CSTI
NEDO
経済産業省</x:v>
      </x:c>
      <x:c r="I231" s="7" t="str"/>
      <x:c r="J231" s="7" t="str">
        <x:v>DIG-P04</x:v>
      </x:c>
      <x:c r="K231" s="18"/>
      <x:c r="L231" s="7" t="str">
        <x:v>2026-06-04改定計画への案内</x:v>
      </x:c>
      <x:c r="M231" s="18" t="n">
        <x:v>46326</x:v>
      </x:c>
      <x:c r="N231" s="7" t="str">
        <x:v>S040</x:v>
      </x:c>
      <x:c r="O231" s="7" t="str">
        <x:v>https://sip3.nedo.go.jp/smartmobility/about/index.html</x:v>
      </x:c>
      <x:c r="P231" s="7" t="str"/>
      <x:c r="Q231" s="7" t="str">
        <x:v>EV-983f322ae05f</x:v>
      </x:c>
      <x:c r="R231" s="7" t="str">
        <x:v>DIG-P04</x:v>
      </x:c>
      <x:c r="S231" s="20" t="n">
        <x:v>2023</x:v>
      </x:c>
      <x:c r="T231" s="20" t="n">
        <x:v>4</x:v>
      </x:c>
      <x:c r="U231" s="7" t="str">
        <x:v>年度・年度末</x:v>
      </x:c>
      <x:c r="V231" s="18"/>
      <x:c r="W231" s="7" t="str">
        <x:v>SRC-780b5aff93</x:v>
      </x:c>
      <x:c r="X231" s="7" t="str"/>
      <x:c r="Y231" s="20" t="n">
        <x:v>224</x:v>
      </x:c>
      <x:c r="Z231" s="7" t="str"/>
      <x:c r="AA231" s="7" t="str"/>
      <x:c r="AB231" s="7" t="str"/>
    </x:row>
    <x:row r="232" ht="68.80000305175781" customHeight="1">
      <x:c r="A232" s="7" t="str">
        <x:v>2023年度</x:v>
      </x:c>
      <x:c r="B232" s="7" t="str">
        <x:v>年度</x:v>
      </x:c>
      <x:c r="C232" s="7" t="str">
        <x:v>DIG-C18</x:v>
      </x:c>
      <x:c r="D232" s="7" t="str">
        <x:v>東広島市の15分都市・地域モビリティ診断</x:v>
      </x:c>
      <x:c r="E232" s="7" t="str">
        <x:v>SIP3で15分都市・地域診断・住民合意形成等の研究開始。</x:v>
      </x:c>
      <x:c r="F232" s="7" t="str">
        <x:v>研究開始</x:v>
      </x:c>
      <x:c r="G232" s="7" t="str">
        <x:v>地域事例</x:v>
      </x:c>
      <x:c r="H232" s="7" t="str">
        <x:v>内閣府CSTI
NEDO
経済産業省
内閣府・総務省・デジタル庁等</x:v>
      </x:c>
      <x:c r="I232" s="7" t="str">
        <x:v>広島県東広島市（呉・庄原と連携）</x:v>
      </x:c>
      <x:c r="J232" s="7" t="str">
        <x:v>DIG-P04</x:v>
      </x:c>
      <x:c r="K232" s="18" t="n">
        <x:v>46195</x:v>
      </x:c>
      <x:c r="L232" s="7" t="str">
        <x:v>2026-06-22</x:v>
      </x:c>
      <x:c r="M232" s="18" t="n">
        <x:v>46326</x:v>
      </x:c>
      <x:c r="N232" s="7" t="str">
        <x:v>S044</x:v>
      </x:c>
      <x:c r="O232" s="7" t="str">
        <x:v>https://sip3.nedo.go.jp/smartmobility/theme/index.html</x:v>
      </x:c>
      <x:c r="P232" s="7" t="str"/>
      <x:c r="Q232" s="7" t="str">
        <x:v>EV-a07b01c5f4bb</x:v>
      </x:c>
      <x:c r="R232" s="7" t="str">
        <x:v>DIG-C18</x:v>
      </x:c>
      <x:c r="S232" s="20" t="n">
        <x:v>2023</x:v>
      </x:c>
      <x:c r="T232" s="20" t="n">
        <x:v>4</x:v>
      </x:c>
      <x:c r="U232" s="7" t="str">
        <x:v>年度・年度末</x:v>
      </x:c>
      <x:c r="V232" s="18"/>
      <x:c r="W232" s="7" t="str">
        <x:v>SRC-19aba14d34</x:v>
      </x:c>
      <x:c r="X232" s="7" t="str"/>
      <x:c r="Y232" s="20" t="n">
        <x:v>225</x:v>
      </x:c>
      <x:c r="Z232" s="7" t="str"/>
      <x:c r="AA232" s="7" t="str"/>
      <x:c r="AB232" s="7" t="str"/>
    </x:row>
    <x:row r="233" ht="68.80000305175781" customHeight="1">
      <x:c r="A233" s="7" t="str">
        <x:v>2023年度</x:v>
      </x:c>
      <x:c r="B233" s="7" t="str">
        <x:v>年度</x:v>
      </x:c>
      <x:c r="C233" s="7" t="str">
        <x:v>DIG-C12</x:v>
      </x:c>
      <x:c r="D233" s="7" t="str">
        <x:v>吉備中央町交通DX実装プロジェクト</x:v>
      </x:c>
      <x:c r="E233" s="7" t="str">
        <x:v>町内4,249人、岡山市向け500人。DXと同時進行の変化で単独因果は不明。</x:v>
      </x:c>
      <x:c r="F233" s="7" t="str">
        <x:v>結果確認</x:v>
      </x:c>
      <x:c r="G233" s="7" t="str">
        <x:v>地域事例</x:v>
      </x:c>
      <x:c r="H233" s="7" t="str">
        <x:v>内閣官房・内閣府地方創生
デジタル庁（基盤・実装支援）
地方自治体
内閣府・総務省・デジタル庁等</x:v>
      </x:c>
      <x:c r="I233" s="7" t="str">
        <x:v>岡山県吉備中央町</x:v>
      </x:c>
      <x:c r="J233" s="7" t="str">
        <x:v>DIG-P12</x:v>
      </x:c>
      <x:c r="K233" s="18"/>
      <x:c r="L233" s="7" t="str">
        <x:v>2025（R6実績）</x:v>
      </x:c>
      <x:c r="M233" s="18" t="n">
        <x:v>46326</x:v>
      </x:c>
      <x:c r="N233" s="7" t="str">
        <x:v>S323</x:v>
      </x:c>
      <x:c r="O233" s="7" t="str">
        <x:v>https://www.town.kibichuo.lg.jp/uploaded/attachment/12092.pdf</x:v>
      </x:c>
      <x:c r="P233" s="7" t="str"/>
      <x:c r="Q233" s="7" t="str">
        <x:v>EV-b112f588537e</x:v>
      </x:c>
      <x:c r="R233" s="7" t="str">
        <x:v>DIG-C12</x:v>
      </x:c>
      <x:c r="S233" s="20" t="n">
        <x:v>2023</x:v>
      </x:c>
      <x:c r="T233" s="20" t="n">
        <x:v>4</x:v>
      </x:c>
      <x:c r="U233" s="7" t="str">
        <x:v>年度・年度末</x:v>
      </x:c>
      <x:c r="V233" s="18"/>
      <x:c r="W233" s="7" t="str">
        <x:v>SRC-01a2148fd1</x:v>
      </x:c>
      <x:c r="X233" s="7" t="str"/>
      <x:c r="Y233" s="20" t="n">
        <x:v>226</x:v>
      </x:c>
      <x:c r="Z233" s="7" t="str"/>
      <x:c r="AA233" s="7" t="str"/>
      <x:c r="AB233" s="7" t="str"/>
    </x:row>
    <x:row r="234" ht="30" customHeight="1">
      <x:c r="A234" s="7" t="str">
        <x:v>2023年度</x:v>
      </x:c>
      <x:c r="B234" s="7" t="str">
        <x:v>年度</x:v>
      </x:c>
      <x:c r="C234" s="7" t="str">
        <x:v>ENV-C01</x:v>
      </x:c>
      <x:c r="D234" s="7" t="str">
        <x:v>南花台クルクル</x:v>
      </x:c>
      <x:c r="E234" s="7" t="str">
        <x:v>費用対効果からAI配車を停止</x:v>
      </x:c>
      <x:c r="F234" s="7" t="str">
        <x:v>運用変更</x:v>
      </x:c>
      <x:c r="G234" s="7" t="str">
        <x:v>地域事例</x:v>
      </x:c>
      <x:c r="H234" s="7" t="str">
        <x:v>環境省</x:v>
      </x:c>
      <x:c r="I234" s="7" t="str">
        <x:v>大阪府河内長野市</x:v>
      </x:c>
      <x:c r="J234" s="7" t="str">
        <x:v>ENV-P02</x:v>
      </x:c>
      <x:c r="K234" s="18" t="n">
        <x:v>45322</x:v>
      </x:c>
      <x:c r="L234" s="7" t="str">
        <x:v>2024-01-31</x:v>
      </x:c>
      <x:c r="M234" s="18" t="n">
        <x:v>46326</x:v>
      </x:c>
      <x:c r="N234" s="7" t="str">
        <x:v>S076</x:v>
      </x:c>
      <x:c r="O234" s="7" t="str">
        <x:v>https://www.city.kawachinagano.lg.jp/uploaded/attachment/37054.pdf</x:v>
      </x:c>
      <x:c r="P234" s="7" t="str"/>
      <x:c r="Q234" s="7" t="str">
        <x:v>EV-b388aa12bedb</x:v>
      </x:c>
      <x:c r="R234" s="7" t="str">
        <x:v>ENV-C01</x:v>
      </x:c>
      <x:c r="S234" s="20" t="n">
        <x:v>2023</x:v>
      </x:c>
      <x:c r="T234" s="20" t="n">
        <x:v>4</x:v>
      </x:c>
      <x:c r="U234" s="7" t="str">
        <x:v>年度・年度末</x:v>
      </x:c>
      <x:c r="V234" s="18"/>
      <x:c r="W234" s="7" t="str">
        <x:v>SRC-afb7396463</x:v>
      </x:c>
      <x:c r="X234" s="7" t="str"/>
      <x:c r="Y234" s="20" t="n">
        <x:v>227</x:v>
      </x:c>
      <x:c r="Z234" s="7" t="str"/>
      <x:c r="AA234" s="7" t="str"/>
      <x:c r="AB234" s="7" t="str"/>
    </x:row>
    <x:row r="235" ht="40.400001525878906" customHeight="1">
      <x:c r="A235" s="7" t="str">
        <x:v>2023年度</x:v>
      </x:c>
      <x:c r="B235" s="7" t="str">
        <x:v>年度</x:v>
      </x:c>
      <x:c r="C235" s="7" t="str">
        <x:v>ENV-C07</x:v>
      </x:c>
      <x:c r="D235" s="7" t="str">
        <x:v>地域再エネEVシェア eemo・公用利用</x:v>
      </x:c>
      <x:c r="E235" s="7" t="str">
        <x:v>公用走行39646km、4.3t削減試算</x:v>
      </x:c>
      <x:c r="F235" s="7" t="str">
        <x:v>稼働評価</x:v>
      </x:c>
      <x:c r="G235" s="7" t="str">
        <x:v>地域事例</x:v>
      </x:c>
      <x:c r="H235" s="7" t="str">
        <x:v>環境省</x:v>
      </x:c>
      <x:c r="I235" s="7" t="str">
        <x:v>神奈川県小田原市</x:v>
      </x:c>
      <x:c r="J235" s="7" t="str"/>
      <x:c r="K235" s="18"/>
      <x:c r="L235" s="7" t="str">
        <x:v>2025-03作成、2026-03にURL更新（2023年度実績）</x:v>
      </x:c>
      <x:c r="M235" s="18" t="n">
        <x:v>46326</x:v>
      </x:c>
      <x:c r="N235" s="7" t="str">
        <x:v>S098</x:v>
      </x:c>
      <x:c r="O235" s="7" t="str">
        <x:v>https://www.city.odawara.kanagawa.jp/global-image/units/720789/1-20260305105907_b69a8e36bc156c.pdf</x:v>
      </x:c>
      <x:c r="P235" s="7" t="str"/>
      <x:c r="Q235" s="7" t="str">
        <x:v>EV-b5486add0509</x:v>
      </x:c>
      <x:c r="R235" s="7" t="str">
        <x:v>ENV-C07</x:v>
      </x:c>
      <x:c r="S235" s="20" t="n">
        <x:v>2023</x:v>
      </x:c>
      <x:c r="T235" s="20" t="n">
        <x:v>4</x:v>
      </x:c>
      <x:c r="U235" s="7" t="str">
        <x:v>年度・年度末</x:v>
      </x:c>
      <x:c r="V235" s="18"/>
      <x:c r="W235" s="7" t="str">
        <x:v>SRC-9540ddcf59</x:v>
      </x:c>
      <x:c r="X235" s="7" t="str"/>
      <x:c r="Y235" s="20" t="n">
        <x:v>228</x:v>
      </x:c>
      <x:c r="Z235" s="7" t="str"/>
      <x:c r="AA235" s="7" t="str"/>
      <x:c r="AB235" s="7" t="str"/>
    </x:row>
    <x:row r="236" ht="97.19999694824219" customHeight="1">
      <x:c r="A236" s="7" t="str">
        <x:v>2023年度</x:v>
      </x:c>
      <x:c r="B236" s="7" t="str">
        <x:v>年度</x:v>
      </x:c>
      <x:c r="C236" s="7" t="str">
        <x:v>DIG-C13</x:v>
      </x:c>
      <x:c r="D236" s="7" t="str">
        <x:v>先端技術を活用したモビリティ社会実現プロジェクト</x:v>
      </x:c>
      <x:c r="E236" s="7" t="str">
        <x:v>実績185,491,800円。my route基本機能継続、導入サービスの一部を除き自立運営へ。</x:v>
      </x:c>
      <x:c r="F236" s="7" t="str">
        <x:v>年度実績報告</x:v>
      </x:c>
      <x:c r="G236" s="7" t="str">
        <x:v>地域事例</x:v>
      </x:c>
      <x:c r="H236" s="7" t="str">
        <x:v>内閣官房・内閣府地方創生
デジタル庁（基盤・実装支援）
地方自治体
内閣府地方創生
関係府省
内閣府・総務省・デジタル庁等</x:v>
      </x:c>
      <x:c r="I236" s="7" t="str">
        <x:v>愛知県</x:v>
      </x:c>
      <x:c r="J236" s="7" t="str">
        <x:v>DIG-P12
DIG-P05</x:v>
      </x:c>
      <x:c r="K236" s="18" t="str">
        <x:v>2025</x:v>
      </x:c>
      <x:c r="L236" s="7" t="str">
        <x:v>2025</x:v>
      </x:c>
      <x:c r="M236" s="18" t="n">
        <x:v>46326</x:v>
      </x:c>
      <x:c r="N236" s="7" t="str">
        <x:v>S302</x:v>
      </x:c>
      <x:c r="O236" s="7" t="str">
        <x:v>https://www.pref.aichi.jp/uploaded/attachment/542336.pdf</x:v>
      </x:c>
      <x:c r="P236" s="7" t="str"/>
      <x:c r="Q236" s="7" t="str">
        <x:v>EV-d33ff56d3cf9</x:v>
      </x:c>
      <x:c r="R236" s="7" t="str">
        <x:v>DIG-C13</x:v>
      </x:c>
      <x:c r="S236" s="20" t="n">
        <x:v>2023</x:v>
      </x:c>
      <x:c r="T236" s="20" t="n">
        <x:v>4</x:v>
      </x:c>
      <x:c r="U236" s="7" t="str">
        <x:v>年度・年度末</x:v>
      </x:c>
      <x:c r="V236" s="18"/>
      <x:c r="W236" s="7" t="str">
        <x:v>SRC-1e17f2bc65</x:v>
      </x:c>
      <x:c r="X236" s="7" t="str"/>
      <x:c r="Y236" s="20" t="n">
        <x:v>229</x:v>
      </x:c>
      <x:c r="Z236" s="7" t="str"/>
      <x:c r="AA236" s="7" t="str"/>
      <x:c r="AB236" s="7" t="str"/>
    </x:row>
    <x:row r="237" ht="40.400001525878906" customHeight="1">
      <x:c r="A237" s="7" t="str">
        <x:v>2023年度</x:v>
      </x:c>
      <x:c r="B237" s="7" t="str">
        <x:v>年度</x:v>
      </x:c>
      <x:c r="C237" s="7" t="str">
        <x:v>ENV-C12</x:v>
      </x:c>
      <x:c r="D237" s="7" t="str">
        <x:v>乗鞍高原・脱炭素先行地域の辞退</x:v>
      </x:c>
      <x:c r="E237" s="7" t="str">
        <x:v>小水力採算再精査・出資調整が遅延</x:v>
      </x:c>
      <x:c r="F237" s="7" t="str">
        <x:v>計画遅延</x:v>
      </x:c>
      <x:c r="G237" s="7" t="str">
        <x:v>地域事例</x:v>
      </x:c>
      <x:c r="H237" s="7" t="str">
        <x:v>環境省</x:v>
      </x:c>
      <x:c r="I237" s="7" t="str">
        <x:v>長野県松本市</x:v>
      </x:c>
      <x:c r="J237" s="7" t="str">
        <x:v>ENV-P05</x:v>
      </x:c>
      <x:c r="K237" s="18"/>
      <x:c r="L237" s="7" t="str">
        <x:v>2024年（2023年度実績）</x:v>
      </x:c>
      <x:c r="M237" s="18" t="n">
        <x:v>46326</x:v>
      </x:c>
      <x:c r="N237" s="7" t="str">
        <x:v>S026</x:v>
      </x:c>
      <x:c r="O237" s="7" t="str">
        <x:v>https://policies.env.go.jp/policy/roadmap/assets/preceding-region/tyubu-R5-shinchoku-joukyou-hokokusyo-03.pdf</x:v>
      </x:c>
      <x:c r="P237" s="7" t="str"/>
      <x:c r="Q237" s="7" t="str">
        <x:v>EV-dab61919fe5e</x:v>
      </x:c>
      <x:c r="R237" s="7" t="str">
        <x:v>ENV-C12</x:v>
      </x:c>
      <x:c r="S237" s="20" t="n">
        <x:v>2023</x:v>
      </x:c>
      <x:c r="T237" s="20" t="n">
        <x:v>4</x:v>
      </x:c>
      <x:c r="U237" s="7" t="str">
        <x:v>年度・年度末</x:v>
      </x:c>
      <x:c r="V237" s="18"/>
      <x:c r="W237" s="7" t="str">
        <x:v>SRC-93db88e59e</x:v>
      </x:c>
      <x:c r="X237" s="7" t="str"/>
      <x:c r="Y237" s="20" t="n">
        <x:v>230</x:v>
      </x:c>
      <x:c r="Z237" s="7" t="str"/>
      <x:c r="AA237" s="7" t="str"/>
      <x:c r="AB237" s="7" t="str"/>
    </x:row>
    <x:row r="238" ht="40.400001525878906" customHeight="1">
      <x:c r="A238" s="7" t="str">
        <x:v>2023-05-21</x:v>
      </x:c>
      <x:c r="B238" s="7" t="str">
        <x:v>日</x:v>
      </x:c>
      <x:c r="C238" s="7" t="str">
        <x:v>meti_eiheiji</x:v>
      </x:c>
      <x:c r="D238" s="7" t="str">
        <x:v>永平寺町 ZEN drive</x:v>
      </x:c>
      <x:c r="E238" s="7" t="str">
        <x:v>運転者を配置しないL4移動サービスを開始</x:v>
      </x:c>
      <x:c r="F238" s="7" t="str">
        <x:v>本格運行</x:v>
      </x:c>
      <x:c r="G238" s="7" t="str">
        <x:v>地域事例</x:v>
      </x:c>
      <x:c r="H238" s="7" t="str">
        <x:v>経済産業省
横断検証（個別所管は資料参照）</x:v>
      </x:c>
      <x:c r="I238" s="7" t="str">
        <x:v>福井県永平寺町</x:v>
      </x:c>
      <x:c r="J238" s="7" t="str">
        <x:v>lastmile
roadl4</x:v>
      </x:c>
      <x:c r="K238" s="18" t="n">
        <x:v>46086</x:v>
      </x:c>
      <x:c r="L238" s="7" t="str">
        <x:v>2026-03-05</x:v>
      </x:c>
      <x:c r="M238" s="18" t="n">
        <x:v>46326</x:v>
      </x:c>
      <x:c r="N238" s="7" t="str">
        <x:v>S242
S309</x:v>
      </x:c>
      <x:c r="O238" s="7" t="str">
        <x:v>https://www.mlit.go.jp/report/press/jidosha07_hh_000448.html</x:v>
      </x:c>
      <x:c r="P238" s="7" t="str">
        <x:v>同一期間内の厳密な前後関係は日付精度により未確定
同一事象の複数記録を統合。元イベントID・日付精度・出典別公表日は右欄に保持。</x:v>
      </x:c>
      <x:c r="Q238" s="7" t="str">
        <x:v>EV-94401e66e635</x:v>
      </x:c>
      <x:c r="R238" s="7" t="str">
        <x:v>V-C01
meti_eiheiji</x:v>
      </x:c>
      <x:c r="S238" s="20" t="n">
        <x:v>2023</x:v>
      </x:c>
      <x:c r="T238" s="20" t="n">
        <x:v>5</x:v>
      </x:c>
      <x:c r="U238" s="7" t="str">
        <x:v>暦年・暦月</x:v>
      </x:c>
      <x:c r="V238" s="18" t="n">
        <x:v>45067</x:v>
      </x:c>
      <x:c r="W238" s="7" t="str">
        <x:v>SRC-7e76d92669
SRC-3022c44cce</x:v>
      </x:c>
      <x:c r="X238" s="7" t="str">
        <x:v>https://www.road-to-the-l4.go.jp/publication/pdf/02-2_theme01_20260305.pdf</x:v>
      </x:c>
      <x:c r="Y238" s="20" t="n">
        <x:v>231</x:v>
      </x:c>
      <x:c r="Z238" s="7" t="str">
        <x:v>EV-44ae063410b2
EV-b7a0d163561b</x:v>
      </x:c>
      <x:c r="AA238" s="7" t="str">
        <x:v>S242：公表日不明
S309：2026-03-05</x:v>
      </x:c>
      <x:c r="AB238" s="7" t="str">
        <x:v>EV-44ae063410b2：2023年5月21日（日）
EV-b7a0d163561b：2023年5月21日（日）</x:v>
      </x:c>
    </x:row>
    <x:row r="239" ht="40.400001525878906" customHeight="1">
      <x:c r="A239" s="7" t="str">
        <x:v>2023年6月2日</x:v>
      </x:c>
      <x:c r="B239" s="7" t="str">
        <x:v>日</x:v>
      </x:c>
      <x:c r="C239" s="7" t="str">
        <x:v>meti_yatomi</x:v>
      </x:c>
      <x:c r="D239" s="7" t="str">
        <x:v>チョイソコやとみ 第3期実証</x:v>
      </x:c>
      <x:c r="E239" s="7" t="str">
        <x:v>第3期実証開始</x:v>
      </x:c>
      <x:c r="F239" s="7" t="str">
        <x:v>実証</x:v>
      </x:c>
      <x:c r="G239" s="7" t="str">
        <x:v>地域事例</x:v>
      </x:c>
      <x:c r="H239" s="7" t="str">
        <x:v>経済産業省</x:v>
      </x:c>
      <x:c r="I239" s="7" t="str">
        <x:v>愛知県弥富市</x:v>
      </x:c>
      <x:c r="J239" s="7" t="str">
        <x:v>smc</x:v>
      </x:c>
      <x:c r="K239" s="18" t="str">
        <x:v>2024</x:v>
      </x:c>
      <x:c r="L239" s="7" t="str">
        <x:v>2024</x:v>
      </x:c>
      <x:c r="M239" s="18" t="n">
        <x:v>46326</x:v>
      </x:c>
      <x:c r="N239" s="7" t="str">
        <x:v>S122</x:v>
      </x:c>
      <x:c r="O239" s="7" t="str">
        <x:v>https://www.city.yatomi.lg.jp/_res/projects/default_project/_page_/001/005/389/R50401.pdf</x:v>
      </x:c>
      <x:c r="P239" s="7" t="str"/>
      <x:c r="Q239" s="7" t="str">
        <x:v>EV-578a726289f1</x:v>
      </x:c>
      <x:c r="R239" s="7" t="str">
        <x:v>meti_yatomi</x:v>
      </x:c>
      <x:c r="S239" s="20" t="n">
        <x:v>2023</x:v>
      </x:c>
      <x:c r="T239" s="20" t="n">
        <x:v>6</x:v>
      </x:c>
      <x:c r="U239" s="7" t="str">
        <x:v>暦年・暦月</x:v>
      </x:c>
      <x:c r="V239" s="18" t="n">
        <x:v>45079</x:v>
      </x:c>
      <x:c r="W239" s="7" t="str">
        <x:v>SRC-af58c7d8c3</x:v>
      </x:c>
      <x:c r="X239" s="7" t="str"/>
      <x:c r="Y239" s="20" t="n">
        <x:v>232</x:v>
      </x:c>
      <x:c r="Z239" s="7" t="str"/>
      <x:c r="AA239" s="7" t="str"/>
      <x:c r="AB239" s="7" t="str"/>
    </x:row>
    <x:row r="240" ht="139.8000030517578" customHeight="1">
      <x:c r="A240" s="7" t="str">
        <x:v>2023年6月9日</x:v>
      </x:c>
      <x:c r="B240" s="7" t="str">
        <x:v>日</x:v>
      </x:c>
      <x:c r="C240" s="7" t="str">
        <x:v>mlit_kamikoani</x:v>
      </x:c>
      <x:c r="D240" s="7" t="str">
        <x:v>道の駅かみこあに 自動運転サービス</x:v>
      </x:c>
      <x:c r="E240" s="7" t="str">
        <x:v>再開告知・6/7月運行日公表</x:v>
      </x:c>
      <x:c r="F240" s="7" t="str">
        <x:v>運行再開</x:v>
      </x:c>
      <x:c r="G240" s="7" t="str">
        <x:v>地域事例</x:v>
      </x:c>
      <x:c r="H240" s="7" t="str">
        <x:v>国土交通省・SIP
国土交通省道路局
内閣府SIP2
内閣府CSTI
NEDO
関係省庁
国土交通省
内閣府・総務省・デジタル庁等
横断検証（個別所管は資料参照）</x:v>
      </x:c>
      <x:c r="I240" s="7" t="str">
        <x:v>秋田県上小阿仁村</x:v>
      </x:c>
      <x:c r="J240" s="7" t="str">
        <x:v>roadstation</x:v>
      </x:c>
      <x:c r="K240" s="18" t="n">
        <x:v>45086</x:v>
      </x:c>
      <x:c r="L240" s="7" t="str">
        <x:v>2023-06-09</x:v>
      </x:c>
      <x:c r="M240" s="18" t="n">
        <x:v>46326</x:v>
      </x:c>
      <x:c r="N240" s="7" t="str">
        <x:v>S022</x:v>
      </x:c>
      <x:c r="O240" s="7" t="str">
        <x:v>https://michinoeki-kamikoani.jp/news_cat/7667/</x:v>
      </x:c>
      <x:c r="P240" s="7" t="str"/>
      <x:c r="Q240" s="7" t="str">
        <x:v>EV-919e8183aeec</x:v>
      </x:c>
      <x:c r="R240" s="7" t="str">
        <x:v>mlit_kamikoani</x:v>
      </x:c>
      <x:c r="S240" s="20" t="n">
        <x:v>2023</x:v>
      </x:c>
      <x:c r="T240" s="20" t="n">
        <x:v>6</x:v>
      </x:c>
      <x:c r="U240" s="7" t="str">
        <x:v>暦年・暦月</x:v>
      </x:c>
      <x:c r="V240" s="18" t="n">
        <x:v>45086</x:v>
      </x:c>
      <x:c r="W240" s="7" t="str">
        <x:v>SRC-d2efbb104e</x:v>
      </x:c>
      <x:c r="X240" s="7" t="str"/>
      <x:c r="Y240" s="20" t="n">
        <x:v>233</x:v>
      </x:c>
      <x:c r="Z240" s="7" t="str"/>
      <x:c r="AA240" s="7" t="str"/>
      <x:c r="AB240" s="7" t="str"/>
    </x:row>
    <x:row r="241" ht="40.400001525878906" customHeight="1">
      <x:c r="A241" s="7" t="str">
        <x:v>2023年7月</x:v>
      </x:c>
      <x:c r="B241" s="7" t="str">
        <x:v>月</x:v>
      </x:c>
      <x:c r="C241" s="7" t="str">
        <x:v>ENV-C20</x:v>
      </x:c>
      <x:c r="D241" s="7" t="str">
        <x:v>EV昼充電へのナッジと小額報酬</x:v>
      </x:c>
      <x:c r="E241" s="7" t="str">
        <x:v>220人のEV昼充電RCT</x:v>
      </x:c>
      <x:c r="F241" s="7" t="str">
        <x:v>実証</x:v>
      </x:c>
      <x:c r="G241" s="7" t="str">
        <x:v>地域事例</x:v>
      </x:c>
      <x:c r="H241" s="7" t="str">
        <x:v>環境省</x:v>
      </x:c>
      <x:c r="I241" s="7" t="str">
        <x:v>全国の調査参加者・充電サービス顧客</x:v>
      </x:c>
      <x:c r="J241" s="7" t="str">
        <x:v>ENV-P11</x:v>
      </x:c>
      <x:c r="K241" s="18" t="n">
        <x:v>45380</x:v>
      </x:c>
      <x:c r="L241" s="7" t="str">
        <x:v>2024-03-29</x:v>
      </x:c>
      <x:c r="M241" s="18" t="n">
        <x:v>46326</x:v>
      </x:c>
      <x:c r="N241" s="7" t="str">
        <x:v>S166</x:v>
      </x:c>
      <x:c r="O241" s="7" t="str">
        <x:v>https://www.env.go.jp/press/press_03007.html</x:v>
      </x:c>
      <x:c r="P241" s="7" t="str"/>
      <x:c r="Q241" s="7" t="str">
        <x:v>EV-13a5eb9f2dff</x:v>
      </x:c>
      <x:c r="R241" s="7" t="str">
        <x:v>ENV-C20</x:v>
      </x:c>
      <x:c r="S241" s="20" t="n">
        <x:v>2023</x:v>
      </x:c>
      <x:c r="T241" s="20" t="n">
        <x:v>7</x:v>
      </x:c>
      <x:c r="U241" s="7" t="str">
        <x:v>暦年・暦月</x:v>
      </x:c>
      <x:c r="V241" s="18"/>
      <x:c r="W241" s="7" t="str">
        <x:v>SRC-e87e180e50</x:v>
      </x:c>
      <x:c r="X241" s="7" t="str"/>
      <x:c r="Y241" s="20" t="n">
        <x:v>234</x:v>
      </x:c>
      <x:c r="Z241" s="7" t="str"/>
      <x:c r="AA241" s="7" t="str"/>
      <x:c r="AB241" s="7" t="str"/>
    </x:row>
    <x:row r="242" ht="54.599998474121094" customHeight="1">
      <x:c r="A242" s="7" t="str">
        <x:v>2023年8月10日</x:v>
      </x:c>
      <x:c r="B242" s="7" t="str">
        <x:v>日</x:v>
      </x:c>
      <x:c r="C242" s="7" t="str">
        <x:v>DIG-P08</x:v>
      </x:c>
      <x:c r="D242" s="7" t="str">
        <x:v>スマートシティ・リファレンスアーキテクチャ／ガイドブック</x:v>
      </x:c>
      <x:c r="E242" s="7" t="str">
        <x:v>第2版公開。調査結果を踏まえ実装・運営の考え方を改訂。</x:v>
      </x:c>
      <x:c r="F242" s="7" t="str">
        <x:v>標準改訂</x:v>
      </x:c>
      <x:c r="G242" s="7" t="str">
        <x:v>政策制度</x:v>
      </x:c>
      <x:c r="H242" s="7" t="str">
        <x:v>内閣府
SIP2サイバー空間基盤
関係府省</x:v>
      </x:c>
      <x:c r="I242" s="7" t="str"/>
      <x:c r="J242" s="7" t="str">
        <x:v>DIG-P08</x:v>
      </x:c>
      <x:c r="K242" s="18" t="n">
        <x:v>45148</x:v>
      </x:c>
      <x:c r="L242" s="7" t="str">
        <x:v>2023-08-10</x:v>
      </x:c>
      <x:c r="M242" s="18" t="n">
        <x:v>46326</x:v>
      </x:c>
      <x:c r="N242" s="7" t="str">
        <x:v>S334</x:v>
      </x:c>
      <x:c r="O242" s="7" t="str">
        <x:v>https://www8.cao.go.jp/cstp/stmain/20230810smartcity.html</x:v>
      </x:c>
      <x:c r="P242" s="7" t="str"/>
      <x:c r="Q242" s="7" t="str">
        <x:v>EV-b8e7aa22136c</x:v>
      </x:c>
      <x:c r="R242" s="7" t="str">
        <x:v>DIG-P08</x:v>
      </x:c>
      <x:c r="S242" s="20" t="n">
        <x:v>2023</x:v>
      </x:c>
      <x:c r="T242" s="20" t="n">
        <x:v>8</x:v>
      </x:c>
      <x:c r="U242" s="7" t="str">
        <x:v>暦年・暦月</x:v>
      </x:c>
      <x:c r="V242" s="18" t="n">
        <x:v>45148</x:v>
      </x:c>
      <x:c r="W242" s="7" t="str">
        <x:v>SRC-13f574ea28</x:v>
      </x:c>
      <x:c r="X242" s="7" t="str"/>
      <x:c r="Y242" s="20" t="n">
        <x:v>235</x:v>
      </x:c>
      <x:c r="Z242" s="7" t="str"/>
      <x:c r="AA242" s="7" t="str"/>
      <x:c r="AB242" s="7" t="str"/>
    </x:row>
    <x:row r="243" ht="30" customHeight="1">
      <x:c r="A243" s="7" t="str">
        <x:v>2023年8月29日</x:v>
      </x:c>
      <x:c r="B243" s="7" t="str">
        <x:v>日</x:v>
      </x:c>
      <x:c r="C243" s="7" t="str">
        <x:v>OTHER-C01</x:v>
      </x:c>
      <x:c r="D243" s="7" t="str">
        <x:v>加子母の広報と生活支援 配達</x:v>
      </x:c>
      <x:c r="E243" s="7" t="str">
        <x:v>農水省セミナーで1日2便の配達運用を紹介</x:v>
      </x:c>
      <x:c r="F243" s="7" t="str">
        <x:v>報告時稼働</x:v>
      </x:c>
      <x:c r="G243" s="7" t="str">
        <x:v>地域事例</x:v>
      </x:c>
      <x:c r="H243" s="7" t="str">
        <x:v>その他府省・横断</x:v>
      </x:c>
      <x:c r="I243" s="7" t="str">
        <x:v>岐阜県中津川市</x:v>
      </x:c>
      <x:c r="J243" s="7" t="str"/>
      <x:c r="K243" s="18" t="n">
        <x:v>45167</x:v>
      </x:c>
      <x:c r="L243" s="7" t="str">
        <x:v>2023-08-29</x:v>
      </x:c>
      <x:c r="M243" s="18" t="n">
        <x:v>46326</x:v>
      </x:c>
      <x:c r="N243" s="7" t="str">
        <x:v>S199</x:v>
      </x:c>
      <x:c r="O243" s="7" t="str">
        <x:v>https://www.maff.go.jp/j/nousin/digikatsu/attach/pdf/index-47.pdf</x:v>
      </x:c>
      <x:c r="P243" s="7" t="str"/>
      <x:c r="Q243" s="7" t="str">
        <x:v>EV-99f9cb97424c</x:v>
      </x:c>
      <x:c r="R243" s="7" t="str">
        <x:v>OTHER-C01</x:v>
      </x:c>
      <x:c r="S243" s="20" t="n">
        <x:v>2023</x:v>
      </x:c>
      <x:c r="T243" s="20" t="n">
        <x:v>8</x:v>
      </x:c>
      <x:c r="U243" s="7" t="str">
        <x:v>暦年・暦月</x:v>
      </x:c>
      <x:c r="V243" s="18" t="n">
        <x:v>45167</x:v>
      </x:c>
      <x:c r="W243" s="7" t="str">
        <x:v>SRC-11b5defcfd</x:v>
      </x:c>
      <x:c r="X243" s="7" t="str"/>
      <x:c r="Y243" s="20" t="n">
        <x:v>236</x:v>
      </x:c>
      <x:c r="Z243" s="7" t="str"/>
      <x:c r="AA243" s="7" t="str"/>
      <x:c r="AB243" s="7" t="str"/>
    </x:row>
    <x:row r="244" ht="30" customHeight="1">
      <x:c r="A244" s="7" t="str">
        <x:v>2023年8月29日</x:v>
      </x:c>
      <x:c r="B244" s="7" t="str">
        <x:v>日</x:v>
      </x:c>
      <x:c r="C244" s="7" t="str">
        <x:v>OTHER-C02</x:v>
      </x:c>
      <x:c r="D244" s="7" t="str">
        <x:v>阿東地域 トイトイ地域生活拠点</x:v>
      </x:c>
      <x:c r="E244" s="7" t="str">
        <x:v>NPOと地元IT アイシン等の連携を紹介</x:v>
      </x:c>
      <x:c r="F244" s="7" t="str">
        <x:v>実証と地域活動</x:v>
      </x:c>
      <x:c r="G244" s="7" t="str">
        <x:v>地域事例</x:v>
      </x:c>
      <x:c r="H244" s="7" t="str">
        <x:v>その他府省・横断</x:v>
      </x:c>
      <x:c r="I244" s="7" t="str">
        <x:v>山口県山口市阿東</x:v>
      </x:c>
      <x:c r="J244" s="7" t="str"/>
      <x:c r="K244" s="18" t="n">
        <x:v>45167</x:v>
      </x:c>
      <x:c r="L244" s="7" t="str">
        <x:v>2023-08-29</x:v>
      </x:c>
      <x:c r="M244" s="18" t="n">
        <x:v>46326</x:v>
      </x:c>
      <x:c r="N244" s="7" t="str">
        <x:v>S200</x:v>
      </x:c>
      <x:c r="O244" s="7" t="str">
        <x:v>https://www.maff.go.jp/j/nousin/digikatsu/attach/pdf/index-48.pdf</x:v>
      </x:c>
      <x:c r="P244" s="7" t="str"/>
      <x:c r="Q244" s="7" t="str">
        <x:v>EV-d85b2caff747</x:v>
      </x:c>
      <x:c r="R244" s="7" t="str">
        <x:v>OTHER-C02</x:v>
      </x:c>
      <x:c r="S244" s="20" t="n">
        <x:v>2023</x:v>
      </x:c>
      <x:c r="T244" s="20" t="n">
        <x:v>8</x:v>
      </x:c>
      <x:c r="U244" s="7" t="str">
        <x:v>暦年・暦月</x:v>
      </x:c>
      <x:c r="V244" s="18" t="n">
        <x:v>45167</x:v>
      </x:c>
      <x:c r="W244" s="7" t="str">
        <x:v>SRC-c0a5f9cabe</x:v>
      </x:c>
      <x:c r="X244" s="7" t="str"/>
      <x:c r="Y244" s="20" t="n">
        <x:v>237</x:v>
      </x:c>
      <x:c r="Z244" s="7" t="str"/>
      <x:c r="AA244" s="7" t="str"/>
      <x:c r="AB244" s="7" t="str"/>
    </x:row>
    <x:row r="245" ht="30" customHeight="1">
      <x:c r="A245" s="7" t="str">
        <x:v>2023年10月</x:v>
      </x:c>
      <x:c r="B245" s="7" t="str">
        <x:v>月</x:v>
      </x:c>
      <x:c r="C245" s="7" t="str">
        <x:v>V-C04</x:v>
      </x:c>
      <x:c r="D245" s="7" t="str">
        <x:v>松田町のるーと足柄</x:v>
      </x:c>
      <x:c r="E245" s="7" t="str">
        <x:v>AIオンデマンド開始</x:v>
      </x:c>
      <x:c r="F245" s="7" t="str">
        <x:v>実証開始</x:v>
      </x:c>
      <x:c r="G245" s="7" t="str">
        <x:v>地域事例</x:v>
      </x:c>
      <x:c r="H245" s="7" t="str">
        <x:v>横断検証（個別所管は資料参照）</x:v>
      </x:c>
      <x:c r="I245" s="7" t="str">
        <x:v>神奈川県松田町</x:v>
      </x:c>
      <x:c r="J245" s="7" t="str"/>
      <x:c r="K245" s="18"/>
      <x:c r="L245" s="7" t="str"/>
      <x:c r="M245" s="18" t="n">
        <x:v>46326</x:v>
      </x:c>
      <x:c r="N245" s="7" t="str">
        <x:v>S054</x:v>
      </x:c>
      <x:c r="O245" s="7" t="str">
        <x:v>https://town.matsuda.kanagawa.jp/uploaded/attachment/18774.pdf</x:v>
      </x:c>
      <x:c r="P245" s="7" t="str"/>
      <x:c r="Q245" s="7" t="str">
        <x:v>EV-b5b471fa3244</x:v>
      </x:c>
      <x:c r="R245" s="7" t="str">
        <x:v>V-C04</x:v>
      </x:c>
      <x:c r="S245" s="20" t="n">
        <x:v>2023</x:v>
      </x:c>
      <x:c r="T245" s="20" t="n">
        <x:v>10</x:v>
      </x:c>
      <x:c r="U245" s="7" t="str">
        <x:v>暦年・暦月</x:v>
      </x:c>
      <x:c r="V245" s="18"/>
      <x:c r="W245" s="7" t="str">
        <x:v>SRC-a58ad356af</x:v>
      </x:c>
      <x:c r="X245" s="7" t="str"/>
      <x:c r="Y245" s="20" t="n">
        <x:v>238</x:v>
      </x:c>
      <x:c r="Z245" s="7" t="str"/>
      <x:c r="AA245" s="7" t="str"/>
      <x:c r="AB245" s="7" t="str"/>
    </x:row>
    <x:row r="246" ht="68.80000305175781" customHeight="1">
      <x:c r="A246" s="7" t="str">
        <x:v>2023-10-28/2023-11-10</x:v>
      </x:c>
      <x:c r="B246" s="7" t="str">
        <x:v>期間</x:v>
      </x:c>
      <x:c r="C246" s="7" t="str">
        <x:v>DIG-C16</x:v>
      </x:c>
      <x:c r="D246" s="7" t="str">
        <x:v>養父市関宮：小さな拠点＋デマンド交通再編</x:v>
      </x:c>
      <x:c r="E246" s="7" t="str">
        <x:v>14日間の体験試乗。住民と停留所/目的地を調整。</x:v>
      </x:c>
      <x:c r="F246" s="7" t="str">
        <x:v>第1次実証</x:v>
      </x:c>
      <x:c r="G246" s="7" t="str">
        <x:v>地域事例</x:v>
      </x:c>
      <x:c r="H246" s="7" t="str">
        <x:v>内閣府CSTI
NEDO
経済産業省
内閣府・総務省・デジタル庁等</x:v>
      </x:c>
      <x:c r="I246" s="7" t="str">
        <x:v>兵庫県養父市関宮地域</x:v>
      </x:c>
      <x:c r="J246" s="7" t="str">
        <x:v>DIG-P04</x:v>
      </x:c>
      <x:c r="K246" s="18" t="str">
        <x:v>2026-03</x:v>
      </x:c>
      <x:c r="L246" s="7" t="str">
        <x:v>2026-03</x:v>
      </x:c>
      <x:c r="M246" s="18" t="n">
        <x:v>46326</x:v>
      </x:c>
      <x:c r="N246" s="7" t="str">
        <x:v>S045</x:v>
      </x:c>
      <x:c r="O246" s="7" t="str">
        <x:v>https://sip3.nedo.go.jp/smartmobility/upload/docs/7650a0e5fb857f859b853f1d600af61154d13e30.pdf</x:v>
      </x:c>
      <x:c r="P246" s="7" t="str"/>
      <x:c r="Q246" s="7" t="str">
        <x:v>EV-c8cd2db5b512</x:v>
      </x:c>
      <x:c r="R246" s="7" t="str">
        <x:v>DIG-C16</x:v>
      </x:c>
      <x:c r="S246" s="20" t="n">
        <x:v>2023</x:v>
      </x:c>
      <x:c r="T246" s="20" t="n">
        <x:v>10</x:v>
      </x:c>
      <x:c r="U246" s="7" t="str">
        <x:v>暦年・暦月</x:v>
      </x:c>
      <x:c r="V246" s="18"/>
      <x:c r="W246" s="7" t="str">
        <x:v>SRC-f420e4751a</x:v>
      </x:c>
      <x:c r="X246" s="7" t="str"/>
      <x:c r="Y246" s="20" t="n">
        <x:v>239</x:v>
      </x:c>
      <x:c r="Z246" s="7" t="str"/>
      <x:c r="AA246" s="7" t="str"/>
      <x:c r="AB246" s="7" t="str"/>
    </x:row>
    <x:row r="247" ht="40.400001525878906" customHeight="1">
      <x:c r="A247" s="7" t="str">
        <x:v>2023-10-29</x:v>
      </x:c>
      <x:c r="B247" s="7" t="str">
        <x:v>日</x:v>
      </x:c>
      <x:c r="C247" s="7" t="str">
        <x:v>meti_eiheiji</x:v>
      </x:c>
      <x:c r="D247" s="7" t="str">
        <x:v>永平寺町 ZEN drive</x:v>
      </x:c>
      <x:c r="E247" s="7" t="str">
        <x:v>無人の自転車との接触により運休。公式記録では負傷と物損なし</x:v>
      </x:c>
      <x:c r="F247" s="7" t="str">
        <x:v>事故後休止</x:v>
      </x:c>
      <x:c r="G247" s="7" t="str">
        <x:v>地域事例</x:v>
      </x:c>
      <x:c r="H247" s="7" t="str">
        <x:v>経済産業省
横断検証（個別所管は資料参照）</x:v>
      </x:c>
      <x:c r="I247" s="7" t="str">
        <x:v>福井県永平寺町</x:v>
      </x:c>
      <x:c r="J247" s="7" t="str">
        <x:v>lastmile
roadl4</x:v>
      </x:c>
      <x:c r="K247" s="18" t="n">
        <x:v>45230</x:v>
      </x:c>
      <x:c r="L247" s="7" t="str">
        <x:v>2023-10-31</x:v>
      </x:c>
      <x:c r="M247" s="18" t="n">
        <x:v>46326</x:v>
      </x:c>
      <x:c r="N247" s="7" t="str">
        <x:v>S235
S228</x:v>
      </x:c>
      <x:c r="O247" s="7" t="str">
        <x:v>https://www.mlit.go.jp/report/interview/daijin231031.html</x:v>
      </x:c>
      <x:c r="P247" s="7" t="str">
        <x:v>同一事象の複数記録を統合。元イベントID・日付精度・出典別公表日は右欄に保持。</x:v>
      </x:c>
      <x:c r="Q247" s="7" t="str">
        <x:v>EV-4aee652dbc9c</x:v>
      </x:c>
      <x:c r="R247" s="7" t="str">
        <x:v>meti_eiheiji
V-C01</x:v>
      </x:c>
      <x:c r="S247" s="20" t="n">
        <x:v>2023</x:v>
      </x:c>
      <x:c r="T247" s="20" t="n">
        <x:v>10</x:v>
      </x:c>
      <x:c r="U247" s="7" t="str">
        <x:v>暦年・暦月</x:v>
      </x:c>
      <x:c r="V247" s="18" t="n">
        <x:v>45228</x:v>
      </x:c>
      <x:c r="W247" s="7" t="str">
        <x:v>SRC-7430389713
SRC-9a1a182711</x:v>
      </x:c>
      <x:c r="X247" s="7" t="str">
        <x:v>https://www.mlit.go.jp/jidosha/content/001745506.pdf</x:v>
      </x:c>
      <x:c r="Y247" s="20" t="n">
        <x:v>240</x:v>
      </x:c>
      <x:c r="Z247" s="7" t="str">
        <x:v>EV-185201aec869
EV-348ddc8bb1b3</x:v>
      </x:c>
      <x:c r="AA247" s="7" t="str">
        <x:v>S235：2023-10-31
S228：公表日不明</x:v>
      </x:c>
      <x:c r="AB247" s="7" t="str">
        <x:v>EV-185201aec869：2023年10月29日（日）
EV-348ddc8bb1b3：2023年10月29日（日）</x:v>
      </x:c>
    </x:row>
    <x:row r="248" ht="40.400001525878906" customHeight="1">
      <x:c r="A248" s="7" t="str">
        <x:v>2023年11月</x:v>
      </x:c>
      <x:c r="B248" s="7" t="str">
        <x:v>月</x:v>
      </x:c>
      <x:c r="C248" s="7" t="str">
        <x:v>ENV-C20</x:v>
      </x:c>
      <x:c r="D248" s="7" t="str">
        <x:v>EV昼充電へのナッジと小額報酬</x:v>
      </x:c>
      <x:c r="E248" s="7" t="str">
        <x:v>街中充電の3週間予備実証</x:v>
      </x:c>
      <x:c r="F248" s="7" t="str">
        <x:v>実証</x:v>
      </x:c>
      <x:c r="G248" s="7" t="str">
        <x:v>地域事例</x:v>
      </x:c>
      <x:c r="H248" s="7" t="str">
        <x:v>環境省</x:v>
      </x:c>
      <x:c r="I248" s="7" t="str">
        <x:v>全国の調査参加者・充電サービス顧客</x:v>
      </x:c>
      <x:c r="J248" s="7" t="str">
        <x:v>ENV-P11</x:v>
      </x:c>
      <x:c r="K248" s="18" t="n">
        <x:v>45450</x:v>
      </x:c>
      <x:c r="L248" s="7" t="str">
        <x:v>2024-06-07</x:v>
      </x:c>
      <x:c r="M248" s="18" t="n">
        <x:v>46326</x:v>
      </x:c>
      <x:c r="N248" s="7" t="str">
        <x:v>S167</x:v>
      </x:c>
      <x:c r="O248" s="7" t="str">
        <x:v>https://www.env.go.jp/press/press_03240.html</x:v>
      </x:c>
      <x:c r="P248" s="7" t="str"/>
      <x:c r="Q248" s="7" t="str">
        <x:v>EV-4444f905178e</x:v>
      </x:c>
      <x:c r="R248" s="7" t="str">
        <x:v>ENV-C20</x:v>
      </x:c>
      <x:c r="S248" s="20" t="n">
        <x:v>2023</x:v>
      </x:c>
      <x:c r="T248" s="20" t="n">
        <x:v>11</x:v>
      </x:c>
      <x:c r="U248" s="7" t="str">
        <x:v>暦年・暦月</x:v>
      </x:c>
      <x:c r="V248" s="18"/>
      <x:c r="W248" s="7" t="str">
        <x:v>SRC-d57a84a0d3</x:v>
      </x:c>
      <x:c r="X248" s="7" t="str"/>
      <x:c r="Y248" s="20" t="n">
        <x:v>241</x:v>
      </x:c>
      <x:c r="Z248" s="7" t="str"/>
      <x:c r="AA248" s="7" t="str"/>
      <x:c r="AB248" s="7" t="str"/>
    </x:row>
    <x:row r="249" ht="40.400001525878906" customHeight="1">
      <x:c r="A249" s="7" t="str">
        <x:v>2023年11月13日</x:v>
      </x:c>
      <x:c r="B249" s="7" t="str">
        <x:v>日</x:v>
      </x:c>
      <x:c r="C249" s="7" t="str">
        <x:v>mlit_gunma</x:v>
      </x:c>
      <x:c r="D249" s="7" t="str">
        <x:v>MaeMaaSからGunMaaSへの移行と前橋 県域連携</x:v>
      </x:c>
      <x:c r="E249" s="7" t="str">
        <x:v>県議会で前橋の事業を引き継ぐ取組を説明</x:v>
      </x:c>
      <x:c r="F249" s="7" t="str">
        <x:v>県への継承確認</x:v>
      </x:c>
      <x:c r="G249" s="7" t="str">
        <x:v>地域事例</x:v>
      </x:c>
      <x:c r="H249" s="7" t="str">
        <x:v>国土交通省
横断検証（個別所管は資料参照）</x:v>
      </x:c>
      <x:c r="I249" s="7" t="str">
        <x:v>群馬県</x:v>
      </x:c>
      <x:c r="J249" s="7" t="str"/>
      <x:c r="K249" s="18" t="n">
        <x:v>45243</x:v>
      </x:c>
      <x:c r="L249" s="7" t="str">
        <x:v>2023-11-13</x:v>
      </x:c>
      <x:c r="M249" s="18" t="n">
        <x:v>46326</x:v>
      </x:c>
      <x:c r="N249" s="7" t="str">
        <x:v>S304</x:v>
      </x:c>
      <x:c r="O249" s="7" t="str">
        <x:v>https://www.pref.gunma.jp/site/gikai/616080.html</x:v>
      </x:c>
      <x:c r="P249" s="7" t="str"/>
      <x:c r="Q249" s="7" t="str">
        <x:v>EV-669e6f0bf6a2</x:v>
      </x:c>
      <x:c r="R249" s="7" t="str">
        <x:v>V-C10</x:v>
      </x:c>
      <x:c r="S249" s="20" t="n">
        <x:v>2023</x:v>
      </x:c>
      <x:c r="T249" s="20" t="n">
        <x:v>11</x:v>
      </x:c>
      <x:c r="U249" s="7" t="str">
        <x:v>暦年・暦月</x:v>
      </x:c>
      <x:c r="V249" s="18" t="n">
        <x:v>45243</x:v>
      </x:c>
      <x:c r="W249" s="7" t="str">
        <x:v>SRC-c865dfb1bd</x:v>
      </x:c>
      <x:c r="X249" s="7" t="str"/>
      <x:c r="Y249" s="20" t="n">
        <x:v>242</x:v>
      </x:c>
      <x:c r="Z249" s="7" t="str"/>
      <x:c r="AA249" s="7" t="str"/>
      <x:c r="AB249" s="7" t="str"/>
    </x:row>
    <x:row r="250" ht="40.400001525878906" customHeight="1">
      <x:c r="A250" s="7" t="str">
        <x:v>2023年11月28日</x:v>
      </x:c>
      <x:c r="B250" s="7" t="str">
        <x:v>日</x:v>
      </x:c>
      <x:c r="C250" s="7" t="str">
        <x:v>meti_yatomi</x:v>
      </x:c>
      <x:c r="D250" s="7" t="str">
        <x:v>チョイソコやとみ 第3期実証</x:v>
      </x:c>
      <x:c r="E250" s="7" t="str">
        <x:v>実証終了、607人</x:v>
      </x:c>
      <x:c r="F250" s="7" t="str">
        <x:v>当該実証終了</x:v>
      </x:c>
      <x:c r="G250" s="7" t="str">
        <x:v>地域事例</x:v>
      </x:c>
      <x:c r="H250" s="7" t="str">
        <x:v>経済産業省</x:v>
      </x:c>
      <x:c r="I250" s="7" t="str">
        <x:v>愛知県弥富市</x:v>
      </x:c>
      <x:c r="J250" s="7" t="str">
        <x:v>smc</x:v>
      </x:c>
      <x:c r="K250" s="18" t="str">
        <x:v>2024</x:v>
      </x:c>
      <x:c r="L250" s="7" t="str">
        <x:v>2024</x:v>
      </x:c>
      <x:c r="M250" s="18" t="n">
        <x:v>46326</x:v>
      </x:c>
      <x:c r="N250" s="7" t="str">
        <x:v>S122</x:v>
      </x:c>
      <x:c r="O250" s="7" t="str">
        <x:v>https://www.city.yatomi.lg.jp/_res/projects/default_project/_page_/001/005/389/R50401.pdf</x:v>
      </x:c>
      <x:c r="P250" s="7" t="str"/>
      <x:c r="Q250" s="7" t="str">
        <x:v>EV-ca072b8bdf2b</x:v>
      </x:c>
      <x:c r="R250" s="7" t="str">
        <x:v>meti_yatomi</x:v>
      </x:c>
      <x:c r="S250" s="20" t="n">
        <x:v>2023</x:v>
      </x:c>
      <x:c r="T250" s="20" t="n">
        <x:v>11</x:v>
      </x:c>
      <x:c r="U250" s="7" t="str">
        <x:v>暦年・暦月</x:v>
      </x:c>
      <x:c r="V250" s="18" t="n">
        <x:v>45258</x:v>
      </x:c>
      <x:c r="W250" s="7" t="str">
        <x:v>SRC-af58c7d8c3</x:v>
      </x:c>
      <x:c r="X250" s="7" t="str"/>
      <x:c r="Y250" s="20" t="n">
        <x:v>243</x:v>
      </x:c>
      <x:c r="Z250" s="7" t="str"/>
      <x:c r="AA250" s="7" t="str"/>
      <x:c r="AB250" s="7" t="str"/>
    </x:row>
    <x:row r="251" ht="54.599998474121094" customHeight="1">
      <x:c r="A251" s="7" t="str">
        <x:v>2023年12月5日</x:v>
      </x:c>
      <x:c r="B251" s="7" t="str">
        <x:v>日</x:v>
      </x:c>
      <x:c r="C251" s="7" t="str">
        <x:v>DIG-P10</x:v>
      </x:c>
      <x:c r="D251" s="7" t="str">
        <x:v>モビリティ・ロードマップ／モビリティWG</x:v>
      </x:c>
      <x:c r="E251" s="7" t="str">
        <x:v>第1回モビリティWG開催。</x:v>
      </x:c>
      <x:c r="F251" s="7" t="str">
        <x:v>体制発足</x:v>
      </x:c>
      <x:c r="G251" s="7" t="str">
        <x:v>政策制度</x:v>
      </x:c>
      <x:c r="H251" s="7" t="str">
        <x:v>デジタル庁
デジタル社会推進会議
関係府省</x:v>
      </x:c>
      <x:c r="I251" s="7" t="str"/>
      <x:c r="J251" s="7" t="str">
        <x:v>DIG-P10</x:v>
      </x:c>
      <x:c r="K251" s="18" t="n">
        <x:v>46224</x:v>
      </x:c>
      <x:c r="L251" s="7" t="str">
        <x:v>2026-07-21</x:v>
      </x:c>
      <x:c r="M251" s="18" t="n">
        <x:v>46326</x:v>
      </x:c>
      <x:c r="N251" s="7" t="str">
        <x:v>S136</x:v>
      </x:c>
      <x:c r="O251" s="7" t="str">
        <x:v>https://www.digital.go.jp/councils/mobility-working-group</x:v>
      </x:c>
      <x:c r="P251" s="7" t="str"/>
      <x:c r="Q251" s="7" t="str">
        <x:v>EV-19881450db54</x:v>
      </x:c>
      <x:c r="R251" s="7" t="str">
        <x:v>DIG-P10</x:v>
      </x:c>
      <x:c r="S251" s="20" t="n">
        <x:v>2023</x:v>
      </x:c>
      <x:c r="T251" s="20" t="n">
        <x:v>12</x:v>
      </x:c>
      <x:c r="U251" s="7" t="str">
        <x:v>暦年・暦月</x:v>
      </x:c>
      <x:c r="V251" s="18" t="n">
        <x:v>45265</x:v>
      </x:c>
      <x:c r="W251" s="7" t="str">
        <x:v>SRC-15606c8ca9</x:v>
      </x:c>
      <x:c r="X251" s="7" t="str"/>
      <x:c r="Y251" s="20" t="n">
        <x:v>244</x:v>
      </x:c>
      <x:c r="Z251" s="7" t="str"/>
      <x:c r="AA251" s="7" t="str"/>
      <x:c r="AB251" s="7" t="str"/>
    </x:row>
    <x:row r="252" ht="40.400001525878906" customHeight="1">
      <x:c r="A252" s="7" t="str">
        <x:v>2023年12月7日</x:v>
      </x:c>
      <x:c r="B252" s="7" t="str">
        <x:v>日</x:v>
      </x:c>
      <x:c r="C252" s="7" t="str">
        <x:v>ENV-C06</x:v>
      </x:c>
      <x:c r="D252" s="7" t="str">
        <x:v>由布院ノルク</x:v>
      </x:c>
      <x:c r="E252" s="7" t="str">
        <x:v>2019～2021年度実証期の住民約1割・収支問題を振り返り、車両買受予算を説明</x:v>
      </x:c>
      <x:c r="F252" s="7" t="str">
        <x:v>課題顕在化</x:v>
      </x:c>
      <x:c r="G252" s="7" t="str">
        <x:v>地域事例</x:v>
      </x:c>
      <x:c r="H252" s="7" t="str">
        <x:v>環境省</x:v>
      </x:c>
      <x:c r="I252" s="7" t="str">
        <x:v>大分県由布市</x:v>
      </x:c>
      <x:c r="J252" s="7" t="str">
        <x:v>ENV-P02</x:v>
      </x:c>
      <x:c r="K252" s="18" t="n">
        <x:v>45267</x:v>
      </x:c>
      <x:c r="L252" s="7" t="str">
        <x:v>2023-12-07</x:v>
      </x:c>
      <x:c r="M252" s="18" t="n">
        <x:v>46326</x:v>
      </x:c>
      <x:c r="N252" s="7" t="str">
        <x:v>S125</x:v>
      </x:c>
      <x:c r="O252" s="7" t="str">
        <x:v>https://www.city.yufu.oita.jp/uploads/files/2024/02/r5-12-7dai4kaiteireikaikaigiroku.pdf</x:v>
      </x:c>
      <x:c r="P252" s="7" t="str"/>
      <x:c r="Q252" s="7" t="str">
        <x:v>EV-a6a3aace817d</x:v>
      </x:c>
      <x:c r="R252" s="7" t="str">
        <x:v>ENV-C06</x:v>
      </x:c>
      <x:c r="S252" s="20" t="n">
        <x:v>2023</x:v>
      </x:c>
      <x:c r="T252" s="20" t="n">
        <x:v>12</x:v>
      </x:c>
      <x:c r="U252" s="7" t="str">
        <x:v>暦年・暦月</x:v>
      </x:c>
      <x:c r="V252" s="18" t="n">
        <x:v>45267</x:v>
      </x:c>
      <x:c r="W252" s="7" t="str">
        <x:v>SRC-052b9b1fa9</x:v>
      </x:c>
      <x:c r="X252" s="7" t="str"/>
      <x:c r="Y252" s="20" t="n">
        <x:v>245</x:v>
      </x:c>
      <x:c r="Z252" s="7" t="str"/>
      <x:c r="AA252" s="7" t="str"/>
      <x:c r="AB252" s="7" t="str"/>
    </x:row>
    <x:row r="253" ht="83" customHeight="1">
      <x:c r="A253" s="7" t="str">
        <x:v>2024年</x:v>
      </x:c>
      <x:c r="B253" s="7" t="str">
        <x:v>年</x:v>
      </x:c>
      <x:c r="C253" s="7" t="str"/>
      <x:c r="D253" s="7" t="str">
        <x:v>国土交通省の政策動向</x:v>
      </x:c>
      <x:c r="E253" s="7" t="str">
        <x:v>MaaS11、実装基盤整備、AV選定99。みやま終了・飯南休止：実装後も再評価が発生。</x:v>
      </x:c>
      <x:c r="F253" s="7" t="str"/>
      <x:c r="G253" s="7" t="str">
        <x:v>政策制度</x:v>
      </x:c>
      <x:c r="H253" s="7" t="str">
        <x:v>国土交通省</x:v>
      </x:c>
      <x:c r="I253" s="7" t="str"/>
      <x:c r="J253" s="7" t="str"/>
      <x:c r="K253" s="18"/>
      <x:c r="L253" s="7" t="str"/>
      <x:c r="M253" s="18" t="n">
        <x:v>46326</x:v>
      </x:c>
      <x:c r="N253" s="7" t="str">
        <x:v>S271
S272
S236
S092
S177</x:v>
      </x:c>
      <x:c r="O253" s="7" t="str">
        <x:v>https://www.mlit.go.jp/sogoseisaku/transport/sosei_transport_tk_000160.html</x:v>
      </x:c>
      <x:c r="P253" s="7" t="str"/>
      <x:c r="Q253" s="7" t="str">
        <x:v>EV-fe0485a8bb17</x:v>
      </x:c>
      <x:c r="R253" s="7" t="str">
        <x:v>mlit</x:v>
      </x:c>
      <x:c r="S253" s="20" t="n">
        <x:v>2024</x:v>
      </x:c>
      <x:c r="T253" s="20" t="n">
        <x:v>1</x:v>
      </x:c>
      <x:c r="U253" s="7" t="str">
        <x:v>暦年・暦月</x:v>
      </x:c>
      <x:c r="V253" s="18"/>
      <x:c r="W253" s="7" t="str">
        <x:v>SRC-dc31021747
SRC-d2c785b30a
SRC-9b4076dfc2
SRC-10c4bb0955
SRC-99e75edb33</x:v>
      </x:c>
      <x:c r="X253" s="7" t="str">
        <x:v>https://www.mlit.go.jp/sogoseisaku/transport/sosei_transport_tk_000193.html
https://www.mlit.go.jp/report/press/content/001747045.pdf
https://www.city.miyama.lg.jp/s008/shisei/070/020/R5syuyousesaku.pdf
https://www.iinan.jp/uploaded/attachment/5148.pdf</x:v>
      </x:c>
      <x:c r="Y253" s="20" t="n">
        <x:v>246</x:v>
      </x:c>
      <x:c r="Z253" s="7" t="str"/>
      <x:c r="AA253" s="7" t="str"/>
      <x:c r="AB253" s="7" t="str"/>
    </x:row>
    <x:row r="254" ht="68.80000305175781" customHeight="1">
      <x:c r="A254" s="7" t="str">
        <x:v>2024年1月9日</x:v>
      </x:c>
      <x:c r="B254" s="7" t="str">
        <x:v>日</x:v>
      </x:c>
      <x:c r="C254" s="7" t="str">
        <x:v>DIG-C14</x:v>
      </x:c>
      <x:c r="D254" s="7" t="str">
        <x:v>高蔵寺ニュータウン・モビリティハブ</x:v>
      </x:c>
      <x:c r="E254" s="7" t="str">
        <x:v>6ポートで第2段階実証開始。move!かすがい連携、電動車いす、交通系IC利用。</x:v>
      </x:c>
      <x:c r="F254" s="7" t="str">
        <x:v>実証拡張</x:v>
      </x:c>
      <x:c r="G254" s="7" t="str">
        <x:v>地域事例</x:v>
      </x:c>
      <x:c r="H254" s="7" t="str">
        <x:v>内閣府CSTI
NEDO
経済産業省
内閣府・総務省・デジタル庁等</x:v>
      </x:c>
      <x:c r="I254" s="7" t="str">
        <x:v>愛知県春日井市</x:v>
      </x:c>
      <x:c r="J254" s="7" t="str">
        <x:v>DIG-P04</x:v>
      </x:c>
      <x:c r="K254" s="18"/>
      <x:c r="L254" s="7" t="str">
        <x:v>2026（FY2025報告）</x:v>
      </x:c>
      <x:c r="M254" s="18" t="n">
        <x:v>46326</x:v>
      </x:c>
      <x:c r="N254" s="7" t="str">
        <x:v>S047</x:v>
      </x:c>
      <x:c r="O254" s="7" t="str">
        <x:v>https://sip3.nedo.go.jp/smartmobility/upload/docs/fff151fc3abc36822d34b4009cbc88f664668456.pdf</x:v>
      </x:c>
      <x:c r="P254" s="7" t="str"/>
      <x:c r="Q254" s="7" t="str">
        <x:v>EV-1a1cbe7e2da5</x:v>
      </x:c>
      <x:c r="R254" s="7" t="str">
        <x:v>DIG-C14</x:v>
      </x:c>
      <x:c r="S254" s="20" t="n">
        <x:v>2024</x:v>
      </x:c>
      <x:c r="T254" s="20" t="n">
        <x:v>1</x:v>
      </x:c>
      <x:c r="U254" s="7" t="str">
        <x:v>暦年・暦月</x:v>
      </x:c>
      <x:c r="V254" s="18" t="n">
        <x:v>45300</x:v>
      </x:c>
      <x:c r="W254" s="7" t="str">
        <x:v>SRC-2441cac973</x:v>
      </x:c>
      <x:c r="X254" s="7" t="str"/>
      <x:c r="Y254" s="20" t="n">
        <x:v>247</x:v>
      </x:c>
      <x:c r="Z254" s="7" t="str"/>
      <x:c r="AA254" s="7" t="str"/>
      <x:c r="AB254" s="7" t="str"/>
    </x:row>
    <x:row r="255" ht="40.400001525878906" customHeight="1">
      <x:c r="A255" s="7" t="str">
        <x:v>2024年1月29日</x:v>
      </x:c>
      <x:c r="B255" s="7" t="str">
        <x:v>日</x:v>
      </x:c>
      <x:c r="C255" s="7" t="str">
        <x:v>meti_yatomi</x:v>
      </x:c>
      <x:c r="D255" s="7" t="str">
        <x:v>チョイソコやとみ 第3期実証</x:v>
      </x:c>
      <x:c r="E255" s="7" t="str">
        <x:v>地域企業への協賛意向調査開始</x:v>
      </x:c>
      <x:c r="F255" s="7" t="str">
        <x:v>事業性検証</x:v>
      </x:c>
      <x:c r="G255" s="7" t="str">
        <x:v>地域事例</x:v>
      </x:c>
      <x:c r="H255" s="7" t="str">
        <x:v>経済産業省</x:v>
      </x:c>
      <x:c r="I255" s="7" t="str">
        <x:v>愛知県弥富市</x:v>
      </x:c>
      <x:c r="J255" s="7" t="str">
        <x:v>smc</x:v>
      </x:c>
      <x:c r="K255" s="18" t="str">
        <x:v>2024</x:v>
      </x:c>
      <x:c r="L255" s="7" t="str">
        <x:v>2024</x:v>
      </x:c>
      <x:c r="M255" s="18" t="n">
        <x:v>46326</x:v>
      </x:c>
      <x:c r="N255" s="7" t="str">
        <x:v>S122</x:v>
      </x:c>
      <x:c r="O255" s="7" t="str">
        <x:v>https://www.city.yatomi.lg.jp/_res/projects/default_project/_page_/001/005/389/R50401.pdf</x:v>
      </x:c>
      <x:c r="P255" s="7" t="str"/>
      <x:c r="Q255" s="7" t="str">
        <x:v>EV-61853c9a4710</x:v>
      </x:c>
      <x:c r="R255" s="7" t="str">
        <x:v>meti_yatomi</x:v>
      </x:c>
      <x:c r="S255" s="20" t="n">
        <x:v>2024</x:v>
      </x:c>
      <x:c r="T255" s="20" t="n">
        <x:v>1</x:v>
      </x:c>
      <x:c r="U255" s="7" t="str">
        <x:v>暦年・暦月</x:v>
      </x:c>
      <x:c r="V255" s="18" t="n">
        <x:v>45320</x:v>
      </x:c>
      <x:c r="W255" s="7" t="str">
        <x:v>SRC-af58c7d8c3</x:v>
      </x:c>
      <x:c r="X255" s="7" t="str"/>
      <x:c r="Y255" s="20" t="n">
        <x:v>248</x:v>
      </x:c>
      <x:c r="Z255" s="7" t="str"/>
      <x:c r="AA255" s="7" t="str"/>
      <x:c r="AB255" s="7" t="str"/>
    </x:row>
    <x:row r="256" ht="30" customHeight="1">
      <x:c r="A256" s="7" t="str">
        <x:v>2024年2月</x:v>
      </x:c>
      <x:c r="B256" s="7" t="str">
        <x:v>月</x:v>
      </x:c>
      <x:c r="C256" s="7" t="str">
        <x:v>mlit_iyo</x:v>
      </x:c>
      <x:c r="D256" s="7" t="str">
        <x:v>双海地区自動運転バス</x:v>
      </x:c>
      <x:c r="E256" s="7" t="str">
        <x:v>試験運行開始</x:v>
      </x:c>
      <x:c r="F256" s="7" t="str">
        <x:v>実証</x:v>
      </x:c>
      <x:c r="G256" s="7" t="str">
        <x:v>地域事例</x:v>
      </x:c>
      <x:c r="H256" s="7" t="str">
        <x:v>国土交通省</x:v>
      </x:c>
      <x:c r="I256" s="7" t="str">
        <x:v>愛媛県伊予市</x:v>
      </x:c>
      <x:c r="J256" s="7" t="str">
        <x:v>av_support</x:v>
      </x:c>
      <x:c r="K256" s="18" t="n">
        <x:v>45861</x:v>
      </x:c>
      <x:c r="L256" s="7" t="str">
        <x:v>2025-07-23</x:v>
      </x:c>
      <x:c r="M256" s="18" t="n">
        <x:v>46326</x:v>
      </x:c>
      <x:c r="N256" s="7" t="str">
        <x:v>S070</x:v>
      </x:c>
      <x:c r="O256" s="7" t="str">
        <x:v>https://www.city.iyo.lg.jp/kikakuseisaku/jidouunten-kyushi.html</x:v>
      </x:c>
      <x:c r="P256" s="7" t="str"/>
      <x:c r="Q256" s="7" t="str">
        <x:v>EV-c91bdc65fd10</x:v>
      </x:c>
      <x:c r="R256" s="7" t="str">
        <x:v>mlit_iyo</x:v>
      </x:c>
      <x:c r="S256" s="20" t="n">
        <x:v>2024</x:v>
      </x:c>
      <x:c r="T256" s="20" t="n">
        <x:v>2</x:v>
      </x:c>
      <x:c r="U256" s="7" t="str">
        <x:v>暦年・暦月</x:v>
      </x:c>
      <x:c r="V256" s="18"/>
      <x:c r="W256" s="7" t="str">
        <x:v>SRC-62e072869c</x:v>
      </x:c>
      <x:c r="X256" s="7" t="str"/>
      <x:c r="Y256" s="20" t="n">
        <x:v>249</x:v>
      </x:c>
      <x:c r="Z256" s="7" t="str"/>
      <x:c r="AA256" s="7" t="str"/>
      <x:c r="AB256" s="7" t="str"/>
    </x:row>
    <x:row r="257" ht="68.80000305175781" customHeight="1">
      <x:c r="A257" s="7" t="str">
        <x:v>2024年2月10日</x:v>
      </x:c>
      <x:c r="B257" s="7" t="str">
        <x:v>日</x:v>
      </x:c>
      <x:c r="C257" s="7" t="str">
        <x:v>DIG-C14</x:v>
      </x:c>
      <x:c r="D257" s="7" t="str">
        <x:v>高蔵寺ニュータウン・モビリティハブ</x:v>
      </x:c>
      <x:c r="E257" s="7" t="str">
        <x:v>病院2箇所を実証対象から除外し4箇所へ。理由未確認。</x:v>
      </x:c>
      <x:c r="F257" s="7" t="str">
        <x:v>範囲縮小</x:v>
      </x:c>
      <x:c r="G257" s="7" t="str">
        <x:v>地域事例</x:v>
      </x:c>
      <x:c r="H257" s="7" t="str">
        <x:v>内閣府CSTI
NEDO
経済産業省
内閣府・総務省・デジタル庁等</x:v>
      </x:c>
      <x:c r="I257" s="7" t="str">
        <x:v>愛知県春日井市</x:v>
      </x:c>
      <x:c r="J257" s="7" t="str">
        <x:v>DIG-P04</x:v>
      </x:c>
      <x:c r="K257" s="18"/>
      <x:c r="L257" s="7" t="str">
        <x:v>2026（FY2025報告）</x:v>
      </x:c>
      <x:c r="M257" s="18" t="n">
        <x:v>46326</x:v>
      </x:c>
      <x:c r="N257" s="7" t="str">
        <x:v>S047</x:v>
      </x:c>
      <x:c r="O257" s="7" t="str">
        <x:v>https://sip3.nedo.go.jp/smartmobility/upload/docs/fff151fc3abc36822d34b4009cbc88f664668456.pdf</x:v>
      </x:c>
      <x:c r="P257" s="7" t="str"/>
      <x:c r="Q257" s="7" t="str">
        <x:v>EV-261c6f91f5fb</x:v>
      </x:c>
      <x:c r="R257" s="7" t="str">
        <x:v>DIG-C14</x:v>
      </x:c>
      <x:c r="S257" s="20" t="n">
        <x:v>2024</x:v>
      </x:c>
      <x:c r="T257" s="20" t="n">
        <x:v>2</x:v>
      </x:c>
      <x:c r="U257" s="7" t="str">
        <x:v>暦年・暦月</x:v>
      </x:c>
      <x:c r="V257" s="18" t="n">
        <x:v>45332</x:v>
      </x:c>
      <x:c r="W257" s="7" t="str">
        <x:v>SRC-2441cac973</x:v>
      </x:c>
      <x:c r="X257" s="7" t="str"/>
      <x:c r="Y257" s="20" t="n">
        <x:v>250</x:v>
      </x:c>
      <x:c r="Z257" s="7" t="str"/>
      <x:c r="AA257" s="7" t="str"/>
      <x:c r="AB257" s="7" t="str"/>
    </x:row>
    <x:row r="258" ht="40.400001525878906" customHeight="1">
      <x:c r="A258" s="7" t="str">
        <x:v>2024年2月22日</x:v>
      </x:c>
      <x:c r="B258" s="7" t="str">
        <x:v>日</x:v>
      </x:c>
      <x:c r="C258" s="7" t="str">
        <x:v>ENV-C09</x:v>
      </x:c>
      <x:c r="D258" s="7" t="str">
        <x:v>電池交換式EVごみ収集車</x:v>
      </x:c>
      <x:c r="E258" s="7" t="str">
        <x:v>実証開始を公表</x:v>
      </x:c>
      <x:c r="F258" s="7" t="str">
        <x:v>準備</x:v>
      </x:c>
      <x:c r="G258" s="7" t="str">
        <x:v>地域事例</x:v>
      </x:c>
      <x:c r="H258" s="7" t="str">
        <x:v>環境省</x:v>
      </x:c>
      <x:c r="I258" s="7" t="str">
        <x:v>埼玉県さいたま市</x:v>
      </x:c>
      <x:c r="J258" s="7" t="str"/>
      <x:c r="K258" s="18" t="n">
        <x:v>45344</x:v>
      </x:c>
      <x:c r="L258" s="7" t="str">
        <x:v>2024-02-22</x:v>
      </x:c>
      <x:c r="M258" s="18" t="n">
        <x:v>46326</x:v>
      </x:c>
      <x:c r="N258" s="7" t="str">
        <x:v>S105</x:v>
      </x:c>
      <x:c r="O258" s="7" t="str">
        <x:v>https://www.city.saitama.lg.jp/006/014/008/003/012/011/p112653.html</x:v>
      </x:c>
      <x:c r="P258" s="7" t="str"/>
      <x:c r="Q258" s="7" t="str">
        <x:v>EV-7891498e57e7</x:v>
      </x:c>
      <x:c r="R258" s="7" t="str">
        <x:v>ENV-C09</x:v>
      </x:c>
      <x:c r="S258" s="20" t="n">
        <x:v>2024</x:v>
      </x:c>
      <x:c r="T258" s="20" t="n">
        <x:v>2</x:v>
      </x:c>
      <x:c r="U258" s="7" t="str">
        <x:v>暦年・暦月</x:v>
      </x:c>
      <x:c r="V258" s="18" t="n">
        <x:v>45344</x:v>
      </x:c>
      <x:c r="W258" s="7" t="str">
        <x:v>SRC-6a6efd6b68</x:v>
      </x:c>
      <x:c r="X258" s="7" t="str"/>
      <x:c r="Y258" s="20" t="n">
        <x:v>251</x:v>
      </x:c>
      <x:c r="Z258" s="7" t="str"/>
      <x:c r="AA258" s="7" t="str"/>
      <x:c r="AB258" s="7" t="str"/>
    </x:row>
    <x:row r="259" ht="40.400001525878906" customHeight="1">
      <x:c r="A259" s="7" t="str">
        <x:v>2024年3月</x:v>
      </x:c>
      <x:c r="B259" s="7" t="str">
        <x:v>月</x:v>
      </x:c>
      <x:c r="C259" s="7" t="str">
        <x:v>mlit_iinan</x:v>
      </x:c>
      <x:c r="D259" s="7" t="str">
        <x:v>赤来高原・赤名地区 自動運転赤名線</x:v>
      </x:c>
      <x:c r="E259" s="7" t="str">
        <x:v>月末で一旦休止を発表</x:v>
      </x:c>
      <x:c r="F259" s="7" t="str">
        <x:v>休止</x:v>
      </x:c>
      <x:c r="G259" s="7" t="str">
        <x:v>地域事例</x:v>
      </x:c>
      <x:c r="H259" s="7" t="str">
        <x:v>国土交通省・SIP
国土交通省</x:v>
      </x:c>
      <x:c r="I259" s="7" t="str">
        <x:v>島根県飯南町</x:v>
      </x:c>
      <x:c r="J259" s="7" t="str">
        <x:v>roadstation</x:v>
      </x:c>
      <x:c r="K259" s="18" t="n">
        <x:v>45356</x:v>
      </x:c>
      <x:c r="L259" s="7" t="str">
        <x:v>2024-03-05</x:v>
      </x:c>
      <x:c r="M259" s="18" t="n">
        <x:v>46326</x:v>
      </x:c>
      <x:c r="N259" s="7" t="str">
        <x:v>S177</x:v>
      </x:c>
      <x:c r="O259" s="7" t="str">
        <x:v>https://www.iinan.jp/uploaded/attachment/5148.pdf</x:v>
      </x:c>
      <x:c r="P259" s="7" t="str"/>
      <x:c r="Q259" s="7" t="str">
        <x:v>EV-f27cd1aa83a6</x:v>
      </x:c>
      <x:c r="R259" s="7" t="str">
        <x:v>mlit_iinan</x:v>
      </x:c>
      <x:c r="S259" s="20" t="n">
        <x:v>2024</x:v>
      </x:c>
      <x:c r="T259" s="20" t="n">
        <x:v>3</x:v>
      </x:c>
      <x:c r="U259" s="7" t="str">
        <x:v>暦年・暦月</x:v>
      </x:c>
      <x:c r="V259" s="18"/>
      <x:c r="W259" s="7" t="str">
        <x:v>SRC-99e75edb33</x:v>
      </x:c>
      <x:c r="X259" s="7" t="str"/>
      <x:c r="Y259" s="20" t="n">
        <x:v>252</x:v>
      </x:c>
      <x:c r="Z259" s="7" t="str"/>
      <x:c r="AA259" s="7" t="str"/>
      <x:c r="AB259" s="7" t="str"/>
    </x:row>
    <x:row r="260" ht="30" customHeight="1">
      <x:c r="A260" s="7" t="str">
        <x:v>2024年3月16日</x:v>
      </x:c>
      <x:c r="B260" s="7" t="str">
        <x:v>日</x:v>
      </x:c>
      <x:c r="C260" s="7" t="str">
        <x:v>V-C11</x:v>
      </x:c>
      <x:c r="D260" s="7" t="str">
        <x:v>ふくいMaaS→はぴチケ</x:v>
      </x:c>
      <x:c r="E260" s="7" t="str">
        <x:v>ふくアプリのデジタル交通券として開始</x:v>
      </x:c>
      <x:c r="F260" s="7" t="str">
        <x:v>アプリ内サービス統合</x:v>
      </x:c>
      <x:c r="G260" s="7" t="str">
        <x:v>地域事例</x:v>
      </x:c>
      <x:c r="H260" s="7" t="str">
        <x:v>横断検証（個別所管は資料参照）</x:v>
      </x:c>
      <x:c r="I260" s="7" t="str">
        <x:v>福井県福井市</x:v>
      </x:c>
      <x:c r="J260" s="7" t="str"/>
      <x:c r="K260" s="18" t="n">
        <x:v>45366</x:v>
      </x:c>
      <x:c r="L260" s="7" t="str">
        <x:v>2024-03-15</x:v>
      </x:c>
      <x:c r="M260" s="18" t="n">
        <x:v>46326</x:v>
      </x:c>
      <x:c r="N260" s="7" t="str">
        <x:v>S067</x:v>
      </x:c>
      <x:c r="O260" s="7" t="str">
        <x:v>https://www.city.fukui.lg.jp/kurasi/koutu/public/p070161.html</x:v>
      </x:c>
      <x:c r="P260" s="7" t="str"/>
      <x:c r="Q260" s="7" t="str">
        <x:v>EV-4961b215efd6</x:v>
      </x:c>
      <x:c r="R260" s="7" t="str">
        <x:v>V-C11</x:v>
      </x:c>
      <x:c r="S260" s="20" t="n">
        <x:v>2024</x:v>
      </x:c>
      <x:c r="T260" s="20" t="n">
        <x:v>3</x:v>
      </x:c>
      <x:c r="U260" s="7" t="str">
        <x:v>暦年・暦月</x:v>
      </x:c>
      <x:c r="V260" s="18" t="n">
        <x:v>45367</x:v>
      </x:c>
      <x:c r="W260" s="7" t="str">
        <x:v>SRC-86dbdeccec</x:v>
      </x:c>
      <x:c r="X260" s="7" t="str"/>
      <x:c r="Y260" s="20" t="n">
        <x:v>253</x:v>
      </x:c>
      <x:c r="Z260" s="7" t="str"/>
      <x:c r="AA260" s="7" t="str"/>
      <x:c r="AB260" s="7" t="str"/>
    </x:row>
    <x:row r="261" ht="40.400001525878906" customHeight="1">
      <x:c r="A261" s="7" t="str">
        <x:v>2024-03-16</x:v>
      </x:c>
      <x:c r="B261" s="7" t="str">
        <x:v>日</x:v>
      </x:c>
      <x:c r="C261" s="7" t="str">
        <x:v>meti_eiheiji</x:v>
      </x:c>
      <x:c r="D261" s="7" t="str">
        <x:v>永平寺町 ZEN drive</x:v>
      </x:c>
      <x:c r="E261" s="7" t="str">
        <x:v>検知と制御等を改良して運行を再開</x:v>
      </x:c>
      <x:c r="F261" s="7" t="str">
        <x:v>再開</x:v>
      </x:c>
      <x:c r="G261" s="7" t="str">
        <x:v>地域事例</x:v>
      </x:c>
      <x:c r="H261" s="7" t="str">
        <x:v>経済産業省
横断検証（個別所管は資料参照）</x:v>
      </x:c>
      <x:c r="I261" s="7" t="str">
        <x:v>福井県永平寺町</x:v>
      </x:c>
      <x:c r="J261" s="7" t="str">
        <x:v>lastmile
roadl4</x:v>
      </x:c>
      <x:c r="K261" s="18" t="n">
        <x:v>45427</x:v>
      </x:c>
      <x:c r="L261" s="7" t="str">
        <x:v>2024-05-15</x:v>
      </x:c>
      <x:c r="M261" s="18" t="n">
        <x:v>46326</x:v>
      </x:c>
      <x:c r="N261" s="7" t="str">
        <x:v>S001
S228</x:v>
      </x:c>
      <x:c r="O261" s="7" t="str">
        <x:v>https://blog.jama.or.jp/?p=7112</x:v>
      </x:c>
      <x:c r="P261" s="7" t="str">
        <x:v>同一事象の複数記録を統合。元イベントID・日付精度・出典別公表日は右欄に保持。</x:v>
      </x:c>
      <x:c r="Q261" s="7" t="str">
        <x:v>EV-b02ad8f3271c</x:v>
      </x:c>
      <x:c r="R261" s="7" t="str">
        <x:v>meti_eiheiji
V-C01</x:v>
      </x:c>
      <x:c r="S261" s="20" t="n">
        <x:v>2024</x:v>
      </x:c>
      <x:c r="T261" s="20" t="n">
        <x:v>3</x:v>
      </x:c>
      <x:c r="U261" s="7" t="str">
        <x:v>暦年・暦月</x:v>
      </x:c>
      <x:c r="V261" s="18" t="n">
        <x:v>45367</x:v>
      </x:c>
      <x:c r="W261" s="7" t="str">
        <x:v>SRC-2360d413e6
SRC-9a1a182711</x:v>
      </x:c>
      <x:c r="X261" s="7" t="str">
        <x:v>https://www.mlit.go.jp/jidosha/content/001745506.pdf</x:v>
      </x:c>
      <x:c r="Y261" s="20" t="n">
        <x:v>254</x:v>
      </x:c>
      <x:c r="Z261" s="7" t="str">
        <x:v>EV-07ce9073c8bb
EV-b54d28987890</x:v>
      </x:c>
      <x:c r="AA261" s="7" t="str">
        <x:v>S001：2024-05-15
S228：公表日不明</x:v>
      </x:c>
      <x:c r="AB261" s="7" t="str">
        <x:v>EV-07ce9073c8bb：2024年3月16日（日）
EV-b54d28987890：2024年3月16日（日）</x:v>
      </x:c>
    </x:row>
    <x:row r="262" ht="40.400001525878906" customHeight="1">
      <x:c r="A262" s="7" t="str">
        <x:v>2024年3月29日</x:v>
      </x:c>
      <x:c r="B262" s="7" t="str">
        <x:v>日</x:v>
      </x:c>
      <x:c r="C262" s="7" t="str">
        <x:v>ENV-C20</x:v>
      </x:c>
      <x:c r="D262" s="7" t="str">
        <x:v>EV昼充電へのナッジと小額報酬</x:v>
      </x:c>
      <x:c r="E262" s="7" t="str">
        <x:v>7月実証結果公表</x:v>
      </x:c>
      <x:c r="F262" s="7" t="str">
        <x:v>評価公表</x:v>
      </x:c>
      <x:c r="G262" s="7" t="str">
        <x:v>地域事例</x:v>
      </x:c>
      <x:c r="H262" s="7" t="str">
        <x:v>環境省</x:v>
      </x:c>
      <x:c r="I262" s="7" t="str">
        <x:v>全国の調査参加者・充電サービス顧客</x:v>
      </x:c>
      <x:c r="J262" s="7" t="str">
        <x:v>ENV-P11</x:v>
      </x:c>
      <x:c r="K262" s="18" t="n">
        <x:v>45380</x:v>
      </x:c>
      <x:c r="L262" s="7" t="str">
        <x:v>2024-03-29</x:v>
      </x:c>
      <x:c r="M262" s="18" t="n">
        <x:v>46326</x:v>
      </x:c>
      <x:c r="N262" s="7" t="str">
        <x:v>S166</x:v>
      </x:c>
      <x:c r="O262" s="7" t="str">
        <x:v>https://www.env.go.jp/press/press_03007.html</x:v>
      </x:c>
      <x:c r="P262" s="7" t="str"/>
      <x:c r="Q262" s="7" t="str">
        <x:v>EV-76f497a718cc</x:v>
      </x:c>
      <x:c r="R262" s="7" t="str">
        <x:v>ENV-C20</x:v>
      </x:c>
      <x:c r="S262" s="20" t="n">
        <x:v>2024</x:v>
      </x:c>
      <x:c r="T262" s="20" t="n">
        <x:v>3</x:v>
      </x:c>
      <x:c r="U262" s="7" t="str">
        <x:v>暦年・暦月</x:v>
      </x:c>
      <x:c r="V262" s="18" t="n">
        <x:v>45380</x:v>
      </x:c>
      <x:c r="W262" s="7" t="str">
        <x:v>SRC-e87e180e50</x:v>
      </x:c>
      <x:c r="X262" s="7" t="str"/>
      <x:c r="Y262" s="20" t="n">
        <x:v>255</x:v>
      </x:c>
      <x:c r="Z262" s="7" t="str"/>
      <x:c r="AA262" s="7" t="str"/>
      <x:c r="AB262" s="7" t="str"/>
    </x:row>
    <x:row r="263" ht="40.400001525878906" customHeight="1">
      <x:c r="A263" s="7" t="str">
        <x:v>2024年3月29日</x:v>
      </x:c>
      <x:c r="B263" s="7" t="str">
        <x:v>日</x:v>
      </x:c>
      <x:c r="C263" s="7" t="str">
        <x:v>ENV-P11</x:v>
      </x:c>
      <x:c r="D263" s="7" t="str">
        <x:v>ナッジ／ナッジ×デジタルのEV充電行動実証</x:v>
      </x:c>
      <x:c r="E263" s="7" t="str">
        <x:v>環境省が2023年に行ったEV昼充電のナッジ実験結果を公表。短期の行動変化と長期定着を区別して評価する。</x:v>
      </x:c>
      <x:c r="F263" s="7" t="str">
        <x:v>実験成果公表</x:v>
      </x:c>
      <x:c r="G263" s="7" t="str">
        <x:v>政策制度</x:v>
      </x:c>
      <x:c r="H263" s="7" t="str">
        <x:v>環境省</x:v>
      </x:c>
      <x:c r="I263" s="7" t="str"/>
      <x:c r="J263" s="7" t="str">
        <x:v>ENV-P11</x:v>
      </x:c>
      <x:c r="K263" s="18" t="n">
        <x:v>45380</x:v>
      </x:c>
      <x:c r="L263" s="7" t="str">
        <x:v>2024-03-29</x:v>
      </x:c>
      <x:c r="M263" s="18" t="n">
        <x:v>46326</x:v>
      </x:c>
      <x:c r="N263" s="7" t="str">
        <x:v>S166</x:v>
      </x:c>
      <x:c r="O263" s="7" t="str">
        <x:v>https://www.env.go.jp/press/press_03007.html</x:v>
      </x:c>
      <x:c r="P263" s="7" t="str"/>
      <x:c r="Q263" s="7" t="str">
        <x:v>EV-7f0c5286df71</x:v>
      </x:c>
      <x:c r="R263" s="7" t="str">
        <x:v>integrated</x:v>
      </x:c>
      <x:c r="S263" s="20" t="n">
        <x:v>2024</x:v>
      </x:c>
      <x:c r="T263" s="20" t="n">
        <x:v>3</x:v>
      </x:c>
      <x:c r="U263" s="7" t="str">
        <x:v>暦年・暦月</x:v>
      </x:c>
      <x:c r="V263" s="18" t="n">
        <x:v>45380</x:v>
      </x:c>
      <x:c r="W263" s="7" t="str">
        <x:v>SRC-e87e180e50</x:v>
      </x:c>
      <x:c r="X263" s="7" t="str"/>
      <x:c r="Y263" s="20" t="n">
        <x:v>256</x:v>
      </x:c>
      <x:c r="Z263" s="7" t="str"/>
      <x:c r="AA263" s="7" t="str"/>
      <x:c r="AB263" s="7" t="str"/>
    </x:row>
    <x:row r="264" ht="40.400001525878906" customHeight="1">
      <x:c r="A264" s="7" t="str">
        <x:v>2024年3月31日</x:v>
      </x:c>
      <x:c r="B264" s="7" t="str">
        <x:v>日</x:v>
      </x:c>
      <x:c r="C264" s="7" t="str">
        <x:v>mlit_miyama</x:v>
      </x:c>
      <x:c r="D264" s="7" t="str">
        <x:v>みやま市山川 自動運転</x:v>
      </x:c>
      <x:c r="E264" s="7" t="str">
        <x:v>自動運転路線運行終了</x:v>
      </x:c>
      <x:c r="F264" s="7" t="str">
        <x:v>終了</x:v>
      </x:c>
      <x:c r="G264" s="7" t="str">
        <x:v>地域事例</x:v>
      </x:c>
      <x:c r="H264" s="7" t="str">
        <x:v>国土交通省・SIP
国土交通省</x:v>
      </x:c>
      <x:c r="I264" s="7" t="str">
        <x:v>福岡県みやま市</x:v>
      </x:c>
      <x:c r="J264" s="7" t="str">
        <x:v>roadstation</x:v>
      </x:c>
      <x:c r="K264" s="18" t="n">
        <x:v>45538</x:v>
      </x:c>
      <x:c r="L264" s="7" t="str">
        <x:v>2024-09-03</x:v>
      </x:c>
      <x:c r="M264" s="18" t="n">
        <x:v>46326</x:v>
      </x:c>
      <x:c r="N264" s="7" t="str">
        <x:v>S092</x:v>
      </x:c>
      <x:c r="O264" s="7" t="str">
        <x:v>https://www.city.miyama.lg.jp/s008/shisei/070/020/R5syuyousesaku.pdf</x:v>
      </x:c>
      <x:c r="P264" s="7" t="str"/>
      <x:c r="Q264" s="7" t="str">
        <x:v>EV-d8fecb94da81</x:v>
      </x:c>
      <x:c r="R264" s="7" t="str">
        <x:v>mlit_miyama</x:v>
      </x:c>
      <x:c r="S264" s="20" t="n">
        <x:v>2024</x:v>
      </x:c>
      <x:c r="T264" s="20" t="n">
        <x:v>3</x:v>
      </x:c>
      <x:c r="U264" s="7" t="str">
        <x:v>暦年・暦月</x:v>
      </x:c>
      <x:c r="V264" s="18" t="n">
        <x:v>45382</x:v>
      </x:c>
      <x:c r="W264" s="7" t="str">
        <x:v>SRC-10c4bb0955</x:v>
      </x:c>
      <x:c r="X264" s="7" t="str"/>
      <x:c r="Y264" s="20" t="n">
        <x:v>257</x:v>
      </x:c>
      <x:c r="Z264" s="7" t="str"/>
      <x:c r="AA264" s="7" t="str"/>
      <x:c r="AB264" s="7" t="str"/>
    </x:row>
    <x:row r="265" ht="30" customHeight="1">
      <x:c r="A265" s="7" t="str">
        <x:v>2024年度</x:v>
      </x:c>
      <x:c r="B265" s="7" t="str">
        <x:v>年度</x:v>
      </x:c>
      <x:c r="C265" s="7" t="str">
        <x:v>mlit_shibukawa</x:v>
      </x:c>
      <x:c r="D265" s="7" t="str">
        <x:v>しぶかわMaaS・らくらく交通</x:v>
      </x:c>
      <x:c r="E265" s="7" t="str">
        <x:v>実績報告公開（事業年度、公開日不詳）</x:v>
      </x:c>
      <x:c r="F265" s="7" t="str">
        <x:v>成果報告</x:v>
      </x:c>
      <x:c r="G265" s="7" t="str">
        <x:v>地域事例</x:v>
      </x:c>
      <x:c r="H265" s="7" t="str">
        <x:v>国土交通省</x:v>
      </x:c>
      <x:c r="I265" s="7" t="str">
        <x:v>群馬県渋川市</x:v>
      </x:c>
      <x:c r="J265" s="7" t="str">
        <x:v>maas_japan</x:v>
      </x:c>
      <x:c r="K265" s="18"/>
      <x:c r="L265" s="7" t="str">
        <x:v>FY2024</x:v>
      </x:c>
      <x:c r="M265" s="18" t="n">
        <x:v>46326</x:v>
      </x:c>
      <x:c r="N265" s="7" t="str">
        <x:v>S262</x:v>
      </x:c>
      <x:c r="O265" s="7" t="str">
        <x:v>https://www.mlit.go.jp/sogoseisaku/transport/content/001891589.pdf</x:v>
      </x:c>
      <x:c r="P265" s="7" t="str"/>
      <x:c r="Q265" s="7" t="str">
        <x:v>EV-01675c71aed0</x:v>
      </x:c>
      <x:c r="R265" s="7" t="str">
        <x:v>mlit_shibukawa</x:v>
      </x:c>
      <x:c r="S265" s="20" t="n">
        <x:v>2024</x:v>
      </x:c>
      <x:c r="T265" s="20" t="n">
        <x:v>4</x:v>
      </x:c>
      <x:c r="U265" s="7" t="str">
        <x:v>年度・年度末</x:v>
      </x:c>
      <x:c r="V265" s="18"/>
      <x:c r="W265" s="7" t="str">
        <x:v>SRC-2167af436c</x:v>
      </x:c>
      <x:c r="X265" s="7" t="str"/>
      <x:c r="Y265" s="20" t="n">
        <x:v>258</x:v>
      </x:c>
      <x:c r="Z265" s="7" t="str"/>
      <x:c r="AA265" s="7" t="str"/>
      <x:c r="AB265" s="7" t="str"/>
    </x:row>
    <x:row r="266" ht="68.80000305175781" customHeight="1">
      <x:c r="A266" s="7" t="str">
        <x:v>2024年度</x:v>
      </x:c>
      <x:c r="B266" s="7" t="str">
        <x:v>年度</x:v>
      </x:c>
      <x:c r="C266" s="7" t="str">
        <x:v>DIG-C12</x:v>
      </x:c>
      <x:c r="D266" s="7" t="str">
        <x:v>吉備中央町交通DX実装プロジェクト</x:v>
      </x:c>
      <x:c r="E266" s="7" t="str">
        <x:v>町内7,347人、岡山市向け758人。マイクロEV導入中断も記録（中断決定日の詳細は不明）。</x:v>
      </x:c>
      <x:c r="F266" s="7" t="str">
        <x:v>成果と一部中断</x:v>
      </x:c>
      <x:c r="G266" s="7" t="str">
        <x:v>地域事例</x:v>
      </x:c>
      <x:c r="H266" s="7" t="str">
        <x:v>内閣官房・内閣府地方創生
デジタル庁（基盤・実装支援）
地方自治体
内閣府・総務省・デジタル庁等</x:v>
      </x:c>
      <x:c r="I266" s="7" t="str">
        <x:v>岡山県吉備中央町</x:v>
      </x:c>
      <x:c r="J266" s="7" t="str">
        <x:v>DIG-P12</x:v>
      </x:c>
      <x:c r="K266" s="18"/>
      <x:c r="L266" s="7" t="str">
        <x:v>2025（R6実績）</x:v>
      </x:c>
      <x:c r="M266" s="18" t="n">
        <x:v>46326</x:v>
      </x:c>
      <x:c r="N266" s="7" t="str">
        <x:v>S323</x:v>
      </x:c>
      <x:c r="O266" s="7" t="str">
        <x:v>https://www.town.kibichuo.lg.jp/uploaded/attachment/12092.pdf</x:v>
      </x:c>
      <x:c r="P266" s="7" t="str"/>
      <x:c r="Q266" s="7" t="str">
        <x:v>EV-04041895f50f</x:v>
      </x:c>
      <x:c r="R266" s="7" t="str">
        <x:v>DIG-C12</x:v>
      </x:c>
      <x:c r="S266" s="20" t="n">
        <x:v>2024</x:v>
      </x:c>
      <x:c r="T266" s="20" t="n">
        <x:v>4</x:v>
      </x:c>
      <x:c r="U266" s="7" t="str">
        <x:v>年度・年度末</x:v>
      </x:c>
      <x:c r="V266" s="18"/>
      <x:c r="W266" s="7" t="str">
        <x:v>SRC-01a2148fd1</x:v>
      </x:c>
      <x:c r="X266" s="7" t="str"/>
      <x:c r="Y266" s="20" t="n">
        <x:v>259</x:v>
      </x:c>
      <x:c r="Z266" s="7" t="str"/>
      <x:c r="AA266" s="7" t="str"/>
      <x:c r="AB266" s="7" t="str"/>
    </x:row>
    <x:row r="267" ht="40.400001525878906" customHeight="1">
      <x:c r="A267" s="7" t="str">
        <x:v>2024年度</x:v>
      </x:c>
      <x:c r="B267" s="7" t="str">
        <x:v>年度</x:v>
      </x:c>
      <x:c r="C267" s="7" t="str">
        <x:v>mlit_gunmadata</x:v>
      </x:c>
      <x:c r="D267" s="7" t="str">
        <x:v>群馬県地域公共交通計画DX</x:v>
      </x:c>
      <x:c r="E267" s="7" t="str">
        <x:v>日本版MaaS採択（公式年度一覧）</x:v>
      </x:c>
      <x:c r="F267" s="7" t="str">
        <x:v>採択</x:v>
      </x:c>
      <x:c r="G267" s="7" t="str">
        <x:v>地域事例</x:v>
      </x:c>
      <x:c r="H267" s="7" t="str">
        <x:v>国土交通省</x:v>
      </x:c>
      <x:c r="I267" s="7" t="str">
        <x:v>群馬県みなかみ町・渋川市</x:v>
      </x:c>
      <x:c r="J267" s="7" t="str">
        <x:v>maas_japan</x:v>
      </x:c>
      <x:c r="K267" s="18"/>
      <x:c r="L267" s="7" t="str"/>
      <x:c r="M267" s="18" t="n">
        <x:v>46326</x:v>
      </x:c>
      <x:c r="N267" s="7" t="str">
        <x:v>S271</x:v>
      </x:c>
      <x:c r="O267" s="7" t="str">
        <x:v>https://www.mlit.go.jp/sogoseisaku/transport/sosei_transport_tk_000160.html</x:v>
      </x:c>
      <x:c r="P267" s="7" t="str"/>
      <x:c r="Q267" s="7" t="str">
        <x:v>EV-049568fd4def</x:v>
      </x:c>
      <x:c r="R267" s="7" t="str">
        <x:v>mlit_gunmadata</x:v>
      </x:c>
      <x:c r="S267" s="20" t="n">
        <x:v>2024</x:v>
      </x:c>
      <x:c r="T267" s="20" t="n">
        <x:v>4</x:v>
      </x:c>
      <x:c r="U267" s="7" t="str">
        <x:v>年度・年度末</x:v>
      </x:c>
      <x:c r="V267" s="18"/>
      <x:c r="W267" s="7" t="str">
        <x:v>SRC-dc31021747</x:v>
      </x:c>
      <x:c r="X267" s="7" t="str"/>
      <x:c r="Y267" s="20" t="n">
        <x:v>260</x:v>
      </x:c>
      <x:c r="Z267" s="7" t="str"/>
      <x:c r="AA267" s="7" t="str"/>
      <x:c r="AB267" s="7" t="str"/>
    </x:row>
    <x:row r="268" ht="40.400001525878906" customHeight="1">
      <x:c r="A268" s="7" t="str">
        <x:v>2024年4月</x:v>
      </x:c>
      <x:c r="B268" s="7" t="str">
        <x:v>月</x:v>
      </x:c>
      <x:c r="C268" s="7" t="str">
        <x:v>ENV-C09</x:v>
      </x:c>
      <x:c r="D268" s="7" t="str">
        <x:v>電池交換式EVごみ収集車</x:v>
      </x:c>
      <x:c r="E268" s="7" t="str">
        <x:v>EV収集車実証開始</x:v>
      </x:c>
      <x:c r="F268" s="7" t="str">
        <x:v>実証稼働</x:v>
      </x:c>
      <x:c r="G268" s="7" t="str">
        <x:v>地域事例</x:v>
      </x:c>
      <x:c r="H268" s="7" t="str">
        <x:v>環境省</x:v>
      </x:c>
      <x:c r="I268" s="7" t="str">
        <x:v>埼玉県さいたま市</x:v>
      </x:c>
      <x:c r="J268" s="7" t="str"/>
      <x:c r="K268" s="18" t="n">
        <x:v>45639</x:v>
      </x:c>
      <x:c r="L268" s="7" t="str">
        <x:v>2024-12-13</x:v>
      </x:c>
      <x:c r="M268" s="18" t="n">
        <x:v>46326</x:v>
      </x:c>
      <x:c r="N268" s="7" t="str">
        <x:v>S104</x:v>
      </x:c>
      <x:c r="O268" s="7" t="str">
        <x:v>https://www.city.saitama.lg.jp/001/009/015/e-kizuna/kyoutei/p097814.html</x:v>
      </x:c>
      <x:c r="P268" s="7" t="str"/>
      <x:c r="Q268" s="7" t="str">
        <x:v>EV-0985ba4d7999</x:v>
      </x:c>
      <x:c r="R268" s="7" t="str">
        <x:v>ENV-C09</x:v>
      </x:c>
      <x:c r="S268" s="20" t="n">
        <x:v>2024</x:v>
      </x:c>
      <x:c r="T268" s="20" t="n">
        <x:v>4</x:v>
      </x:c>
      <x:c r="U268" s="7" t="str">
        <x:v>暦年・暦月</x:v>
      </x:c>
      <x:c r="V268" s="18"/>
      <x:c r="W268" s="7" t="str">
        <x:v>SRC-449663c5ee</x:v>
      </x:c>
      <x:c r="X268" s="7" t="str"/>
      <x:c r="Y268" s="20" t="n">
        <x:v>261</x:v>
      </x:c>
      <x:c r="Z268" s="7" t="str"/>
      <x:c r="AA268" s="7" t="str"/>
      <x:c r="AB268" s="7" t="str"/>
    </x:row>
    <x:row r="269" ht="30" customHeight="1">
      <x:c r="A269" s="7" t="str">
        <x:v>2024年度</x:v>
      </x:c>
      <x:c r="B269" s="7" t="str">
        <x:v>年度</x:v>
      </x:c>
      <x:c r="C269" s="7" t="str">
        <x:v>mlit_kansai</x:v>
      </x:c>
      <x:c r="D269" s="7" t="str">
        <x:v>KANSAI MaaS 共通QR</x:v>
      </x:c>
      <x:c r="E269" s="7" t="str">
        <x:v>実績報告公開（事業年度、公開日不詳）</x:v>
      </x:c>
      <x:c r="F269" s="7" t="str">
        <x:v>成果報告</x:v>
      </x:c>
      <x:c r="G269" s="7" t="str">
        <x:v>地域事例</x:v>
      </x:c>
      <x:c r="H269" s="7" t="str">
        <x:v>国土交通省</x:v>
      </x:c>
      <x:c r="I269" s="7" t="str">
        <x:v>関西広域</x:v>
      </x:c>
      <x:c r="J269" s="7" t="str">
        <x:v>maas_japan</x:v>
      </x:c>
      <x:c r="K269" s="18"/>
      <x:c r="L269" s="7" t="str">
        <x:v>FY2024</x:v>
      </x:c>
      <x:c r="M269" s="18" t="n">
        <x:v>46326</x:v>
      </x:c>
      <x:c r="N269" s="7" t="str">
        <x:v>S266</x:v>
      </x:c>
      <x:c r="O269" s="7" t="str">
        <x:v>https://www.mlit.go.jp/sogoseisaku/transport/content/001891601.pdf</x:v>
      </x:c>
      <x:c r="P269" s="7" t="str"/>
      <x:c r="Q269" s="7" t="str">
        <x:v>EV-10a3cb441a44</x:v>
      </x:c>
      <x:c r="R269" s="7" t="str">
        <x:v>mlit_kansai</x:v>
      </x:c>
      <x:c r="S269" s="20" t="n">
        <x:v>2024</x:v>
      </x:c>
      <x:c r="T269" s="20" t="n">
        <x:v>4</x:v>
      </x:c>
      <x:c r="U269" s="7" t="str">
        <x:v>年度・年度末</x:v>
      </x:c>
      <x:c r="V269" s="18"/>
      <x:c r="W269" s="7" t="str">
        <x:v>SRC-ca0fa445f0</x:v>
      </x:c>
      <x:c r="X269" s="7" t="str"/>
      <x:c r="Y269" s="20" t="n">
        <x:v>262</x:v>
      </x:c>
      <x:c r="Z269" s="7" t="str"/>
      <x:c r="AA269" s="7" t="str"/>
      <x:c r="AB269" s="7" t="str"/>
    </x:row>
    <x:row r="270" ht="30" customHeight="1">
      <x:c r="A270" s="7" t="str">
        <x:v>2024年度</x:v>
      </x:c>
      <x:c r="B270" s="7" t="str">
        <x:v>年度</x:v>
      </x:c>
      <x:c r="C270" s="7" t="str">
        <x:v>mlit_miura</x:v>
      </x:c>
      <x:c r="D270" s="7" t="str">
        <x:v>三浦半島newcal</x:v>
      </x:c>
      <x:c r="E270" s="7" t="str">
        <x:v>実績報告公開（事業年度、公開日不詳）</x:v>
      </x:c>
      <x:c r="F270" s="7" t="str">
        <x:v>成果報告</x:v>
      </x:c>
      <x:c r="G270" s="7" t="str">
        <x:v>地域事例</x:v>
      </x:c>
      <x:c r="H270" s="7" t="str">
        <x:v>国土交通省</x:v>
      </x:c>
      <x:c r="I270" s="7" t="str">
        <x:v>神奈川県三浦半島</x:v>
      </x:c>
      <x:c r="J270" s="7" t="str">
        <x:v>maas_japan</x:v>
      </x:c>
      <x:c r="K270" s="18"/>
      <x:c r="L270" s="7" t="str">
        <x:v>FY2024</x:v>
      </x:c>
      <x:c r="M270" s="18" t="n">
        <x:v>46326</x:v>
      </x:c>
      <x:c r="N270" s="7" t="str">
        <x:v>S264</x:v>
      </x:c>
      <x:c r="O270" s="7" t="str">
        <x:v>https://www.mlit.go.jp/sogoseisaku/transport/content/001891592.pdf</x:v>
      </x:c>
      <x:c r="P270" s="7" t="str"/>
      <x:c r="Q270" s="7" t="str">
        <x:v>EV-1206aa01d2ba</x:v>
      </x:c>
      <x:c r="R270" s="7" t="str">
        <x:v>mlit_miura</x:v>
      </x:c>
      <x:c r="S270" s="20" t="n">
        <x:v>2024</x:v>
      </x:c>
      <x:c r="T270" s="20" t="n">
        <x:v>4</x:v>
      </x:c>
      <x:c r="U270" s="7" t="str">
        <x:v>年度・年度末</x:v>
      </x:c>
      <x:c r="V270" s="18"/>
      <x:c r="W270" s="7" t="str">
        <x:v>SRC-9dd27904e8</x:v>
      </x:c>
      <x:c r="X270" s="7" t="str"/>
      <x:c r="Y270" s="20" t="n">
        <x:v>263</x:v>
      </x:c>
      <x:c r="Z270" s="7" t="str"/>
      <x:c r="AA270" s="7" t="str"/>
      <x:c r="AB270" s="7" t="str"/>
    </x:row>
    <x:row r="271" ht="40.400001525878906" customHeight="1">
      <x:c r="A271" s="7" t="str">
        <x:v>2024年度</x:v>
      </x:c>
      <x:c r="B271" s="7" t="str">
        <x:v>年度</x:v>
      </x:c>
      <x:c r="C271" s="7" t="str">
        <x:v>mlit_komono</x:v>
      </x:c>
      <x:c r="D271" s="7" t="str">
        <x:v>菰野町MaaS おでかけこもの</x:v>
      </x:c>
      <x:c r="E271" s="7" t="str">
        <x:v>実績報告公開（事業年度、公開日不詳）</x:v>
      </x:c>
      <x:c r="F271" s="7" t="str">
        <x:v>成果報告</x:v>
      </x:c>
      <x:c r="G271" s="7" t="str">
        <x:v>地域事例</x:v>
      </x:c>
      <x:c r="H271" s="7" t="str">
        <x:v>国土交通省
経済産業省</x:v>
      </x:c>
      <x:c r="I271" s="7" t="str">
        <x:v>三重県菰野町</x:v>
      </x:c>
      <x:c r="J271" s="7" t="str">
        <x:v>maas_japan</x:v>
      </x:c>
      <x:c r="K271" s="18"/>
      <x:c r="L271" s="7" t="str">
        <x:v>FY2024</x:v>
      </x:c>
      <x:c r="M271" s="18" t="n">
        <x:v>46326</x:v>
      </x:c>
      <x:c r="N271" s="7" t="str">
        <x:v>S265</x:v>
      </x:c>
      <x:c r="O271" s="7" t="str">
        <x:v>https://www.mlit.go.jp/sogoseisaku/transport/content/001891600.pdf</x:v>
      </x:c>
      <x:c r="P271" s="7" t="str"/>
      <x:c r="Q271" s="7" t="str">
        <x:v>EV-137b1dae4022</x:v>
      </x:c>
      <x:c r="R271" s="7" t="str">
        <x:v>mlit_komono</x:v>
      </x:c>
      <x:c r="S271" s="20" t="n">
        <x:v>2024</x:v>
      </x:c>
      <x:c r="T271" s="20" t="n">
        <x:v>4</x:v>
      </x:c>
      <x:c r="U271" s="7" t="str">
        <x:v>年度・年度末</x:v>
      </x:c>
      <x:c r="V271" s="18"/>
      <x:c r="W271" s="7" t="str">
        <x:v>SRC-d2d0151df3</x:v>
      </x:c>
      <x:c r="X271" s="7" t="str"/>
      <x:c r="Y271" s="20" t="n">
        <x:v>264</x:v>
      </x:c>
      <x:c r="Z271" s="7" t="str"/>
      <x:c r="AA271" s="7" t="str"/>
      <x:c r="AB271" s="7" t="str"/>
    </x:row>
    <x:row r="272" ht="40.400001525878906" customHeight="1">
      <x:c r="A272" s="7" t="str">
        <x:v>2024年度</x:v>
      </x:c>
      <x:c r="B272" s="7" t="str">
        <x:v>年度</x:v>
      </x:c>
      <x:c r="C272" s="7" t="str">
        <x:v>mlit_komono</x:v>
      </x:c>
      <x:c r="D272" s="7" t="str">
        <x:v>菰野町MaaS おでかけこもの</x:v>
      </x:c>
      <x:c r="E272" s="7" t="str">
        <x:v>SMC採択地域として紹介</x:v>
      </x:c>
      <x:c r="F272" s="7" t="str">
        <x:v>採択</x:v>
      </x:c>
      <x:c r="G272" s="7" t="str">
        <x:v>地域事例</x:v>
      </x:c>
      <x:c r="H272" s="7" t="str">
        <x:v>国土交通省
経済産業省</x:v>
      </x:c>
      <x:c r="I272" s="7" t="str">
        <x:v>三重県菰野町</x:v>
      </x:c>
      <x:c r="J272" s="7" t="str">
        <x:v>smc</x:v>
      </x:c>
      <x:c r="K272" s="18"/>
      <x:c r="L272" s="7" t="str"/>
      <x:c r="M272" s="18" t="n">
        <x:v>46326</x:v>
      </x:c>
      <x:c r="N272" s="7" t="str">
        <x:v>S281</x:v>
      </x:c>
      <x:c r="O272" s="7" t="str">
        <x:v>https://www.mobilitychallenge.go.jp/introduction/</x:v>
      </x:c>
      <x:c r="P272" s="7" t="str">
        <x:v>同一期間内の厳密な前後関係は日付精度により未確定</x:v>
      </x:c>
      <x:c r="Q272" s="7" t="str">
        <x:v>EV-177e8f2e5430</x:v>
      </x:c>
      <x:c r="R272" s="7" t="str">
        <x:v>meti_komono</x:v>
      </x:c>
      <x:c r="S272" s="20" t="n">
        <x:v>2024</x:v>
      </x:c>
      <x:c r="T272" s="20" t="n">
        <x:v>4</x:v>
      </x:c>
      <x:c r="U272" s="7" t="str">
        <x:v>年度・年度末</x:v>
      </x:c>
      <x:c r="V272" s="18"/>
      <x:c r="W272" s="7" t="str">
        <x:v>SRC-ac2f0f15e2</x:v>
      </x:c>
      <x:c r="X272" s="7" t="str"/>
      <x:c r="Y272" s="20" t="n">
        <x:v>265</x:v>
      </x:c>
      <x:c r="Z272" s="7" t="str"/>
      <x:c r="AA272" s="7" t="str"/>
      <x:c r="AB272" s="7" t="str"/>
    </x:row>
    <x:row r="273" ht="40.400001525878906" customHeight="1">
      <x:c r="A273" s="7" t="str">
        <x:v>2024年度</x:v>
      </x:c>
      <x:c r="B273" s="7" t="str">
        <x:v>年度</x:v>
      </x:c>
      <x:c r="C273" s="7" t="str">
        <x:v>mlit_shibukawa</x:v>
      </x:c>
      <x:c r="D273" s="7" t="str">
        <x:v>しぶかわMaaS・らくらく交通</x:v>
      </x:c>
      <x:c r="E273" s="7" t="str">
        <x:v>日本版MaaS採択（公式年度一覧）</x:v>
      </x:c>
      <x:c r="F273" s="7" t="str">
        <x:v>採択</x:v>
      </x:c>
      <x:c r="G273" s="7" t="str">
        <x:v>地域事例</x:v>
      </x:c>
      <x:c r="H273" s="7" t="str">
        <x:v>国土交通省</x:v>
      </x:c>
      <x:c r="I273" s="7" t="str">
        <x:v>群馬県渋川市</x:v>
      </x:c>
      <x:c r="J273" s="7" t="str">
        <x:v>maas_japan</x:v>
      </x:c>
      <x:c r="K273" s="18"/>
      <x:c r="L273" s="7" t="str"/>
      <x:c r="M273" s="18" t="n">
        <x:v>46326</x:v>
      </x:c>
      <x:c r="N273" s="7" t="str">
        <x:v>S271</x:v>
      </x:c>
      <x:c r="O273" s="7" t="str">
        <x:v>https://www.mlit.go.jp/sogoseisaku/transport/sosei_transport_tk_000160.html</x:v>
      </x:c>
      <x:c r="P273" s="7" t="str">
        <x:v>同一期間内の厳密な前後関係は日付精度により未確定</x:v>
      </x:c>
      <x:c r="Q273" s="7" t="str">
        <x:v>EV-2487b0f367db</x:v>
      </x:c>
      <x:c r="R273" s="7" t="str">
        <x:v>mlit_shibukawa</x:v>
      </x:c>
      <x:c r="S273" s="20" t="n">
        <x:v>2024</x:v>
      </x:c>
      <x:c r="T273" s="20" t="n">
        <x:v>4</x:v>
      </x:c>
      <x:c r="U273" s="7" t="str">
        <x:v>年度・年度末</x:v>
      </x:c>
      <x:c r="V273" s="18"/>
      <x:c r="W273" s="7" t="str">
        <x:v>SRC-dc31021747</x:v>
      </x:c>
      <x:c r="X273" s="7" t="str"/>
      <x:c r="Y273" s="20" t="n">
        <x:v>266</x:v>
      </x:c>
      <x:c r="Z273" s="7" t="str"/>
      <x:c r="AA273" s="7" t="str"/>
      <x:c r="AB273" s="7" t="str"/>
    </x:row>
    <x:row r="274" ht="111.4000015258789" customHeight="1">
      <x:c r="A274" s="7" t="str">
        <x:v>2024年度</x:v>
      </x:c>
      <x:c r="B274" s="7" t="str">
        <x:v>年度</x:v>
      </x:c>
      <x:c r="C274" s="7" t="str">
        <x:v>DIG-C06</x:v>
      </x:c>
      <x:c r="D274" s="7" t="str">
        <x:v>小松駅・空港路線のローカル5Gと路側情報配信</x:v>
      </x:c>
      <x:c r="E274" s="7" t="str">
        <x:v>駅・空港路線等を対象にローカル5G、路側情報・OTAを検証。</x:v>
      </x:c>
      <x:c r="F274" s="7" t="str">
        <x:v>実証実施</x:v>
      </x:c>
      <x:c r="G274" s="7" t="str">
        <x:v>地域事例</x:v>
      </x:c>
      <x:c r="H274" s="7" t="str">
        <x:v>総務省
三菱総合研究所（事務局）
地域コンソーシアム
デジタル庁
関係府省庁
地方自治体
内閣府・総務省・デジタル庁等</x:v>
      </x:c>
      <x:c r="I274" s="7" t="str">
        <x:v>石川県小松市</x:v>
      </x:c>
      <x:c r="J274" s="7" t="str">
        <x:v>DIG-P15
DIG-P11</x:v>
      </x:c>
      <x:c r="K274" s="18"/>
      <x:c r="L274" s="7" t="str">
        <x:v>2025-07-14公開</x:v>
      </x:c>
      <x:c r="M274" s="18" t="n">
        <x:v>46326</x:v>
      </x:c>
      <x:c r="N274" s="7" t="str">
        <x:v>S031</x:v>
      </x:c>
      <x:c r="O274" s="7" t="str">
        <x:v>https://pubpjt.mri.co.jp/pjt_related/rcsad-info/eqghpc000000030i-att/20250714rcsad-info_houkoku_ishikawa_komatsu.pdf</x:v>
      </x:c>
      <x:c r="P274" s="7" t="str"/>
      <x:c r="Q274" s="7" t="str">
        <x:v>EV-4189162088c6</x:v>
      </x:c>
      <x:c r="R274" s="7" t="str">
        <x:v>DIG-C06</x:v>
      </x:c>
      <x:c r="S274" s="20" t="n">
        <x:v>2024</x:v>
      </x:c>
      <x:c r="T274" s="20" t="n">
        <x:v>4</x:v>
      </x:c>
      <x:c r="U274" s="7" t="str">
        <x:v>年度・年度末</x:v>
      </x:c>
      <x:c r="V274" s="18"/>
      <x:c r="W274" s="7" t="str">
        <x:v>SRC-fad30d1732</x:v>
      </x:c>
      <x:c r="X274" s="7" t="str"/>
      <x:c r="Y274" s="20" t="n">
        <x:v>267</x:v>
      </x:c>
      <x:c r="Z274" s="7" t="str"/>
      <x:c r="AA274" s="7" t="str"/>
      <x:c r="AB274" s="7" t="str"/>
    </x:row>
    <x:row r="275" ht="68.80000305175781" customHeight="1">
      <x:c r="A275" s="7" t="str">
        <x:v>2024年度</x:v>
      </x:c>
      <x:c r="B275" s="7" t="str">
        <x:v>年度</x:v>
      </x:c>
      <x:c r="C275" s="7" t="str">
        <x:v>DIG-C15</x:v>
      </x:c>
      <x:c r="D275" s="7" t="str">
        <x:v>西尾市のデジタチ・モビリティハブ・生活道路対策</x:v>
      </x:c>
      <x:c r="E275" s="7" t="str">
        <x:v>交通量/歩行者調査を用いて生活道路・ハブ施策を設計。</x:v>
      </x:c>
      <x:c r="F275" s="7" t="str">
        <x:v>基準把握と設計</x:v>
      </x:c>
      <x:c r="G275" s="7" t="str">
        <x:v>地域事例</x:v>
      </x:c>
      <x:c r="H275" s="7" t="str">
        <x:v>内閣府CSTI
NEDO
経済産業省
内閣府・総務省・デジタル庁等</x:v>
      </x:c>
      <x:c r="I275" s="7" t="str">
        <x:v>愛知県西尾市吉良・幡豆地区</x:v>
      </x:c>
      <x:c r="J275" s="7" t="str">
        <x:v>DIG-P04</x:v>
      </x:c>
      <x:c r="K275" s="18"/>
      <x:c r="L275" s="7" t="str">
        <x:v>2026（FY2025報告）</x:v>
      </x:c>
      <x:c r="M275" s="18" t="n">
        <x:v>46326</x:v>
      </x:c>
      <x:c r="N275" s="7" t="str">
        <x:v>S047</x:v>
      </x:c>
      <x:c r="O275" s="7" t="str">
        <x:v>https://sip3.nedo.go.jp/smartmobility/upload/docs/fff151fc3abc36822d34b4009cbc88f664668456.pdf</x:v>
      </x:c>
      <x:c r="P275" s="7" t="str"/>
      <x:c r="Q275" s="7" t="str">
        <x:v>EV-691167337289</x:v>
      </x:c>
      <x:c r="R275" s="7" t="str">
        <x:v>DIG-C15</x:v>
      </x:c>
      <x:c r="S275" s="20" t="n">
        <x:v>2024</x:v>
      </x:c>
      <x:c r="T275" s="20" t="n">
        <x:v>4</x:v>
      </x:c>
      <x:c r="U275" s="7" t="str">
        <x:v>年度・年度末</x:v>
      </x:c>
      <x:c r="V275" s="18"/>
      <x:c r="W275" s="7" t="str">
        <x:v>SRC-2441cac973</x:v>
      </x:c>
      <x:c r="X275" s="7" t="str"/>
      <x:c r="Y275" s="20" t="n">
        <x:v>268</x:v>
      </x:c>
      <x:c r="Z275" s="7" t="str"/>
      <x:c r="AA275" s="7" t="str"/>
      <x:c r="AB275" s="7" t="str"/>
    </x:row>
    <x:row r="276" ht="125.5999984741211" customHeight="1">
      <x:c r="A276" s="7" t="str">
        <x:v>2024年度</x:v>
      </x:c>
      <x:c r="B276" s="7" t="str">
        <x:v>年度</x:v>
      </x:c>
      <x:c r="C276" s="7" t="str">
        <x:v>DIG-C19</x:v>
      </x:c>
      <x:c r="D276" s="7" t="str">
        <x:v>日立市大甕駅周辺・自動運転サービス支援道</x:v>
      </x:c>
      <x:c r="E276" s="7" t="str">
        <x:v>大甕駅周辺で課題検証。ひたちBRT専用道のL4運行と一般道支援道実証は同一視しない。</x:v>
      </x:c>
      <x:c r="F276" s="7" t="str">
        <x:v>支援道実証</x:v>
      </x:c>
      <x:c r="G276" s="7" t="str">
        <x:v>地域事例</x:v>
      </x:c>
      <x:c r="H276" s="7" t="str">
        <x:v>経済産業省
NEDO
IPA DADC
デジタル庁・デジタル行財政改革会議
デジタル庁
関係府省庁
地方自治体
内閣府・総務省・デジタル庁等</x:v>
      </x:c>
      <x:c r="I276" s="7" t="str">
        <x:v>茨城県日立市</x:v>
      </x:c>
      <x:c r="J276" s="7" t="str">
        <x:v>DIG-P16
DIG-P11</x:v>
      </x:c>
      <x:c r="K276" s="18" t="str">
        <x:v>2025</x:v>
      </x:c>
      <x:c r="L276" s="7" t="str">
        <x:v>2025</x:v>
      </x:c>
      <x:c r="M276" s="18" t="n">
        <x:v>46326</x:v>
      </x:c>
      <x:c r="N276" s="7" t="str">
        <x:v>S205</x:v>
      </x:c>
      <x:c r="O276" s="7" t="str">
        <x:v>https://www.meti.go.jp/policy/mono_info_service/digital_architecture/lifeline/jitugen2-siryou3.pdf</x:v>
      </x:c>
      <x:c r="P276" s="7" t="str"/>
      <x:c r="Q276" s="7" t="str">
        <x:v>EV-77e0e31e2379</x:v>
      </x:c>
      <x:c r="R276" s="7" t="str">
        <x:v>DIG-C19</x:v>
      </x:c>
      <x:c r="S276" s="20" t="n">
        <x:v>2024</x:v>
      </x:c>
      <x:c r="T276" s="20" t="n">
        <x:v>4</x:v>
      </x:c>
      <x:c r="U276" s="7" t="str">
        <x:v>年度・年度末</x:v>
      </x:c>
      <x:c r="V276" s="18"/>
      <x:c r="W276" s="7" t="str">
        <x:v>SRC-27f9707c1a</x:v>
      </x:c>
      <x:c r="X276" s="7" t="str"/>
      <x:c r="Y276" s="20" t="n">
        <x:v>269</x:v>
      </x:c>
      <x:c r="Z276" s="7" t="str"/>
      <x:c r="AA276" s="7" t="str"/>
      <x:c r="AB276" s="7" t="str"/>
    </x:row>
    <x:row r="277" ht="40.400001525878906" customHeight="1">
      <x:c r="A277" s="7" t="str">
        <x:v>2024年度</x:v>
      </x:c>
      <x:c r="B277" s="7" t="str">
        <x:v>年度</x:v>
      </x:c>
      <x:c r="C277" s="7" t="str">
        <x:v>mlit_komono</x:v>
      </x:c>
      <x:c r="D277" s="7" t="str">
        <x:v>菰野町MaaS おでかけこもの</x:v>
      </x:c>
      <x:c r="E277" s="7" t="str">
        <x:v>日本版MaaS採択（公式年度一覧）</x:v>
      </x:c>
      <x:c r="F277" s="7" t="str">
        <x:v>採択</x:v>
      </x:c>
      <x:c r="G277" s="7" t="str">
        <x:v>地域事例</x:v>
      </x:c>
      <x:c r="H277" s="7" t="str">
        <x:v>国土交通省
経済産業省</x:v>
      </x:c>
      <x:c r="I277" s="7" t="str">
        <x:v>三重県菰野町</x:v>
      </x:c>
      <x:c r="J277" s="7" t="str">
        <x:v>maas_japan</x:v>
      </x:c>
      <x:c r="K277" s="18"/>
      <x:c r="L277" s="7" t="str"/>
      <x:c r="M277" s="18" t="n">
        <x:v>46326</x:v>
      </x:c>
      <x:c r="N277" s="7" t="str">
        <x:v>S271</x:v>
      </x:c>
      <x:c r="O277" s="7" t="str">
        <x:v>https://www.mlit.go.jp/sogoseisaku/transport/sosei_transport_tk_000160.html</x:v>
      </x:c>
      <x:c r="P277" s="7" t="str">
        <x:v>同一期間内の厳密な前後関係は日付精度により未確定</x:v>
      </x:c>
      <x:c r="Q277" s="7" t="str">
        <x:v>EV-7897ba6cbc87</x:v>
      </x:c>
      <x:c r="R277" s="7" t="str">
        <x:v>mlit_komono</x:v>
      </x:c>
      <x:c r="S277" s="20" t="n">
        <x:v>2024</x:v>
      </x:c>
      <x:c r="T277" s="20" t="n">
        <x:v>4</x:v>
      </x:c>
      <x:c r="U277" s="7" t="str">
        <x:v>年度・年度末</x:v>
      </x:c>
      <x:c r="V277" s="18"/>
      <x:c r="W277" s="7" t="str">
        <x:v>SRC-dc31021747</x:v>
      </x:c>
      <x:c r="X277" s="7" t="str"/>
      <x:c r="Y277" s="20" t="n">
        <x:v>270</x:v>
      </x:c>
      <x:c r="Z277" s="7" t="str"/>
      <x:c r="AA277" s="7" t="str"/>
      <x:c r="AB277" s="7" t="str"/>
    </x:row>
    <x:row r="278" ht="68.80000305175781" customHeight="1">
      <x:c r="A278" s="7" t="str">
        <x:v>2024年度</x:v>
      </x:c>
      <x:c r="B278" s="7" t="str">
        <x:v>年度</x:v>
      </x:c>
      <x:c r="C278" s="7" t="str">
        <x:v>DIG-C08</x:v>
      </x:c>
      <x:c r="D278" s="7" t="str">
        <x:v>美郷町の複数回線・長距離Wi-Fi・衛星通信</x:v>
      </x:c>
      <x:c r="E278" s="7" t="str">
        <x:v>前年運行で映像途絶・遠隔介入等の課題を認識した経緯。</x:v>
      </x:c>
      <x:c r="F278" s="7" t="str">
        <x:v>課題確認</x:v>
      </x:c>
      <x:c r="G278" s="7" t="str">
        <x:v>地域事例</x:v>
      </x:c>
      <x:c r="H278" s="7" t="str">
        <x:v>総務省
三菱総合研究所（事務局）
地域コンソーシアム
内閣府・総務省・デジタル庁等</x:v>
      </x:c>
      <x:c r="I278" s="7" t="str">
        <x:v>島根県美郷町（粕渕・比之宮）</x:v>
      </x:c>
      <x:c r="J278" s="7" t="str">
        <x:v>DIG-P15</x:v>
      </x:c>
      <x:c r="K278" s="18"/>
      <x:c r="L278" s="7" t="str">
        <x:v>2026-06-03公開</x:v>
      </x:c>
      <x:c r="M278" s="18" t="n">
        <x:v>46326</x:v>
      </x:c>
      <x:c r="N278" s="7" t="str">
        <x:v>S035</x:v>
      </x:c>
      <x:c r="O278" s="7" t="str">
        <x:v>https://pubpjt.mri.co.jp/pjt_related/rcsad-info/eqghpc000000030i-att/20260603rcsad-info_houkoku_shimane_misato.pdf</x:v>
      </x:c>
      <x:c r="P278" s="7" t="str"/>
      <x:c r="Q278" s="7" t="str">
        <x:v>EV-7bd1de25e7d2</x:v>
      </x:c>
      <x:c r="R278" s="7" t="str">
        <x:v>DIG-C08</x:v>
      </x:c>
      <x:c r="S278" s="20" t="n">
        <x:v>2024</x:v>
      </x:c>
      <x:c r="T278" s="20" t="n">
        <x:v>4</x:v>
      </x:c>
      <x:c r="U278" s="7" t="str">
        <x:v>年度・年度末</x:v>
      </x:c>
      <x:c r="V278" s="18"/>
      <x:c r="W278" s="7" t="str">
        <x:v>SRC-6510930b8a</x:v>
      </x:c>
      <x:c r="X278" s="7" t="str"/>
      <x:c r="Y278" s="20" t="n">
        <x:v>271</x:v>
      </x:c>
      <x:c r="Z278" s="7" t="str"/>
      <x:c r="AA278" s="7" t="str"/>
      <x:c r="AB278" s="7" t="str"/>
    </x:row>
    <x:row r="279" ht="30" customHeight="1">
      <x:c r="A279" s="7" t="str">
        <x:v>2024年度</x:v>
      </x:c>
      <x:c r="B279" s="7" t="str">
        <x:v>年度</x:v>
      </x:c>
      <x:c r="C279" s="7" t="str">
        <x:v>mlit_kyushu</x:v>
      </x:c>
      <x:c r="D279" s="7" t="str">
        <x:v>九州MaaS</x:v>
      </x:c>
      <x:c r="E279" s="7" t="str">
        <x:v>実績報告公開（事業年度、公開日不詳）</x:v>
      </x:c>
      <x:c r="F279" s="7" t="str">
        <x:v>成果報告</x:v>
      </x:c>
      <x:c r="G279" s="7" t="str">
        <x:v>地域事例</x:v>
      </x:c>
      <x:c r="H279" s="7" t="str">
        <x:v>国土交通省</x:v>
      </x:c>
      <x:c r="I279" s="7" t="str">
        <x:v>九州7県</x:v>
      </x:c>
      <x:c r="J279" s="7" t="str">
        <x:v>maas_japan</x:v>
      </x:c>
      <x:c r="K279" s="18"/>
      <x:c r="L279" s="7" t="str">
        <x:v>FY2024</x:v>
      </x:c>
      <x:c r="M279" s="18" t="n">
        <x:v>46326</x:v>
      </x:c>
      <x:c r="N279" s="7" t="str">
        <x:v>S268</x:v>
      </x:c>
      <x:c r="O279" s="7" t="str">
        <x:v>https://www.mlit.go.jp/sogoseisaku/transport/content/001891603.pdf</x:v>
      </x:c>
      <x:c r="P279" s="7" t="str"/>
      <x:c r="Q279" s="7" t="str">
        <x:v>EV-854b31c0de24</x:v>
      </x:c>
      <x:c r="R279" s="7" t="str">
        <x:v>mlit_kyushu</x:v>
      </x:c>
      <x:c r="S279" s="20" t="n">
        <x:v>2024</x:v>
      </x:c>
      <x:c r="T279" s="20" t="n">
        <x:v>4</x:v>
      </x:c>
      <x:c r="U279" s="7" t="str">
        <x:v>年度・年度末</x:v>
      </x:c>
      <x:c r="V279" s="18"/>
      <x:c r="W279" s="7" t="str">
        <x:v>SRC-de515f9fcf</x:v>
      </x:c>
      <x:c r="X279" s="7" t="str"/>
      <x:c r="Y279" s="20" t="n">
        <x:v>272</x:v>
      </x:c>
      <x:c r="Z279" s="7" t="str"/>
      <x:c r="AA279" s="7" t="str"/>
      <x:c r="AB279" s="7" t="str"/>
    </x:row>
    <x:row r="280" ht="40.400001525878906" customHeight="1">
      <x:c r="A280" s="7" t="str">
        <x:v>2024年度</x:v>
      </x:c>
      <x:c r="B280" s="7" t="str">
        <x:v>年度</x:v>
      </x:c>
      <x:c r="C280" s="7" t="str">
        <x:v>mlit_gunma</x:v>
      </x:c>
      <x:c r="D280" s="7" t="str">
        <x:v>MaeMaaSからGunMaaSへの移行と前橋 県域連携</x:v>
      </x:c>
      <x:c r="E280" s="7" t="str">
        <x:v>群馬県の取組 実績報告公開（事業年度、公開日不詳）</x:v>
      </x:c>
      <x:c r="F280" s="7" t="str">
        <x:v>成果報告</x:v>
      </x:c>
      <x:c r="G280" s="7" t="str">
        <x:v>地域事例</x:v>
      </x:c>
      <x:c r="H280" s="7" t="str">
        <x:v>国土交通省
横断検証（個別所管は資料参照）</x:v>
      </x:c>
      <x:c r="I280" s="7" t="str">
        <x:v>群馬県</x:v>
      </x:c>
      <x:c r="J280" s="7" t="str">
        <x:v>maas_japan</x:v>
      </x:c>
      <x:c r="K280" s="18"/>
      <x:c r="L280" s="7" t="str">
        <x:v>FY2024</x:v>
      </x:c>
      <x:c r="M280" s="18" t="n">
        <x:v>46326</x:v>
      </x:c>
      <x:c r="N280" s="7" t="str">
        <x:v>S260</x:v>
      </x:c>
      <x:c r="O280" s="7" t="str">
        <x:v>https://www.mlit.go.jp/sogoseisaku/transport/content/001891587.pdf</x:v>
      </x:c>
      <x:c r="P280" s="7" t="str"/>
      <x:c r="Q280" s="7" t="str">
        <x:v>EV-8870b0542d1a</x:v>
      </x:c>
      <x:c r="R280" s="7" t="str">
        <x:v>mlit_gunma</x:v>
      </x:c>
      <x:c r="S280" s="20" t="n">
        <x:v>2024</x:v>
      </x:c>
      <x:c r="T280" s="20" t="n">
        <x:v>4</x:v>
      </x:c>
      <x:c r="U280" s="7" t="str">
        <x:v>年度・年度末</x:v>
      </x:c>
      <x:c r="V280" s="18"/>
      <x:c r="W280" s="7" t="str">
        <x:v>SRC-bf30df8e3d</x:v>
      </x:c>
      <x:c r="X280" s="7" t="str"/>
      <x:c r="Y280" s="20" t="n">
        <x:v>273</x:v>
      </x:c>
      <x:c r="Z280" s="7" t="str"/>
      <x:c r="AA280" s="7" t="str"/>
      <x:c r="AB280" s="7" t="str"/>
    </x:row>
    <x:row r="281" ht="54.599998474121094" customHeight="1">
      <x:c r="A281" s="7" t="str">
        <x:v>2024年度</x:v>
      </x:c>
      <x:c r="B281" s="7" t="str">
        <x:v>年度</x:v>
      </x:c>
      <x:c r="C281" s="7" t="str">
        <x:v>DIG-P15</x:v>
      </x:c>
      <x:c r="D281" s="7" t="str">
        <x:v>地域デジタル基盤活用推進／地域社会DX推進パッケージ：自動運転L4検証タイプ</x:v>
      </x:c>
      <x:c r="E281" s="7" t="str">
        <x:v>L4通信検証7地域。自治体の車両/道路支援とは別に通信を検証。</x:v>
      </x:c>
      <x:c r="F281" s="7" t="str">
        <x:v>実証支援</x:v>
      </x:c>
      <x:c r="G281" s="7" t="str">
        <x:v>政策制度</x:v>
      </x:c>
      <x:c r="H281" s="7" t="str">
        <x:v>総務省
三菱総合研究所（事務局）
地域コンソーシアム</x:v>
      </x:c>
      <x:c r="I281" s="7" t="str"/>
      <x:c r="J281" s="7" t="str">
        <x:v>DIG-P15</x:v>
      </x:c>
      <x:c r="K281" s="18"/>
      <x:c r="L281" s="7" t="str">
        <x:v>2026-08-07まで更新／2026-10-31閲覧</x:v>
      </x:c>
      <x:c r="M281" s="18" t="n">
        <x:v>46326</x:v>
      </x:c>
      <x:c r="N281" s="7" t="str">
        <x:v>S036</x:v>
      </x:c>
      <x:c r="O281" s="7" t="str">
        <x:v>https://pubpjt.mri.co.jp/pjt_related/rcsad-info/index.html</x:v>
      </x:c>
      <x:c r="P281" s="7" t="str"/>
      <x:c r="Q281" s="7" t="str">
        <x:v>EV-88f238b12ff4</x:v>
      </x:c>
      <x:c r="R281" s="7" t="str">
        <x:v>DIG-P15</x:v>
      </x:c>
      <x:c r="S281" s="20" t="n">
        <x:v>2024</x:v>
      </x:c>
      <x:c r="T281" s="20" t="n">
        <x:v>4</x:v>
      </x:c>
      <x:c r="U281" s="7" t="str">
        <x:v>年度・年度末</x:v>
      </x:c>
      <x:c r="V281" s="18"/>
      <x:c r="W281" s="7" t="str">
        <x:v>SRC-dd614f096b</x:v>
      </x:c>
      <x:c r="X281" s="7" t="str"/>
      <x:c r="Y281" s="20" t="n">
        <x:v>274</x:v>
      </x:c>
      <x:c r="Z281" s="7" t="str"/>
      <x:c r="AA281" s="7" t="str"/>
      <x:c r="AB281" s="7" t="str"/>
    </x:row>
    <x:row r="282" ht="30" customHeight="1">
      <x:c r="A282" s="7" t="str">
        <x:v>2024年度</x:v>
      </x:c>
      <x:c r="B282" s="7" t="str">
        <x:v>年度</x:v>
      </x:c>
      <x:c r="C282" s="7" t="str">
        <x:v>mlit_fukuoka</x:v>
      </x:c>
      <x:c r="D282" s="7" t="str">
        <x:v>福岡近未来MaaS</x:v>
      </x:c>
      <x:c r="E282" s="7" t="str">
        <x:v>実績報告公開（事業年度、公開日不詳）</x:v>
      </x:c>
      <x:c r="F282" s="7" t="str">
        <x:v>成果報告</x:v>
      </x:c>
      <x:c r="G282" s="7" t="str">
        <x:v>地域事例</x:v>
      </x:c>
      <x:c r="H282" s="7" t="str">
        <x:v>国土交通省</x:v>
      </x:c>
      <x:c r="I282" s="7" t="str">
        <x:v>福岡県</x:v>
      </x:c>
      <x:c r="J282" s="7" t="str">
        <x:v>maas_japan</x:v>
      </x:c>
      <x:c r="K282" s="18"/>
      <x:c r="L282" s="7" t="str">
        <x:v>FY2024</x:v>
      </x:c>
      <x:c r="M282" s="18" t="n">
        <x:v>46326</x:v>
      </x:c>
      <x:c r="N282" s="7" t="str">
        <x:v>S267</x:v>
      </x:c>
      <x:c r="O282" s="7" t="str">
        <x:v>https://www.mlit.go.jp/sogoseisaku/transport/content/001891602.pdf</x:v>
      </x:c>
      <x:c r="P282" s="7" t="str"/>
      <x:c r="Q282" s="7" t="str">
        <x:v>EV-8d2b605771ba</x:v>
      </x:c>
      <x:c r="R282" s="7" t="str">
        <x:v>mlit_fukuoka</x:v>
      </x:c>
      <x:c r="S282" s="20" t="n">
        <x:v>2024</x:v>
      </x:c>
      <x:c r="T282" s="20" t="n">
        <x:v>4</x:v>
      </x:c>
      <x:c r="U282" s="7" t="str">
        <x:v>年度・年度末</x:v>
      </x:c>
      <x:c r="V282" s="18"/>
      <x:c r="W282" s="7" t="str">
        <x:v>SRC-f4063dbc5a</x:v>
      </x:c>
      <x:c r="X282" s="7" t="str"/>
      <x:c r="Y282" s="20" t="n">
        <x:v>275</x:v>
      </x:c>
      <x:c r="Z282" s="7" t="str"/>
      <x:c r="AA282" s="7" t="str"/>
      <x:c r="AB282" s="7" t="str"/>
    </x:row>
    <x:row r="283" ht="68.80000305175781" customHeight="1">
      <x:c r="A283" s="7" t="str">
        <x:v>2024年度</x:v>
      </x:c>
      <x:c r="B283" s="7" t="str">
        <x:v>年度</x:v>
      </x:c>
      <x:c r="C283" s="7" t="str">
        <x:v>DIG-P16</x:v>
      </x:c>
      <x:c r="D283" s="7" t="str">
        <x:v>デジタルライフライン全国総合整備計画／整備事業</x:v>
      </x:c>
      <x:c r="E283" s="7" t="str">
        <x:v>日立・新東名で自動運転サービス支援道の課題検証。</x:v>
      </x:c>
      <x:c r="F283" s="7" t="str">
        <x:v>実証群実施</x:v>
      </x:c>
      <x:c r="G283" s="7" t="str">
        <x:v>政策制度</x:v>
      </x:c>
      <x:c r="H283" s="7" t="str">
        <x:v>経済産業省
NEDO
IPA DADC
デジタル庁・デジタル行財政改革会議</x:v>
      </x:c>
      <x:c r="I283" s="7" t="str"/>
      <x:c r="J283" s="7" t="str">
        <x:v>DIG-P16</x:v>
      </x:c>
      <x:c r="K283" s="18" t="str">
        <x:v>2025</x:v>
      </x:c>
      <x:c r="L283" s="7" t="str">
        <x:v>2025</x:v>
      </x:c>
      <x:c r="M283" s="18" t="n">
        <x:v>46326</x:v>
      </x:c>
      <x:c r="N283" s="7" t="str">
        <x:v>S205</x:v>
      </x:c>
      <x:c r="O283" s="7" t="str">
        <x:v>https://www.meti.go.jp/policy/mono_info_service/digital_architecture/lifeline/jitugen2-siryou3.pdf</x:v>
      </x:c>
      <x:c r="P283" s="7" t="str"/>
      <x:c r="Q283" s="7" t="str">
        <x:v>EV-8d8fde6a0e79</x:v>
      </x:c>
      <x:c r="R283" s="7" t="str">
        <x:v>DIG-P16</x:v>
      </x:c>
      <x:c r="S283" s="20" t="n">
        <x:v>2024</x:v>
      </x:c>
      <x:c r="T283" s="20" t="n">
        <x:v>4</x:v>
      </x:c>
      <x:c r="U283" s="7" t="str">
        <x:v>年度・年度末</x:v>
      </x:c>
      <x:c r="V283" s="18"/>
      <x:c r="W283" s="7" t="str">
        <x:v>SRC-27f9707c1a</x:v>
      </x:c>
      <x:c r="X283" s="7" t="str"/>
      <x:c r="Y283" s="20" t="n">
        <x:v>276</x:v>
      </x:c>
      <x:c r="Z283" s="7" t="str"/>
      <x:c r="AA283" s="7" t="str"/>
      <x:c r="AB283" s="7" t="str"/>
    </x:row>
    <x:row r="284" ht="40.400001525878906" customHeight="1">
      <x:c r="A284" s="7" t="str">
        <x:v>2024年度</x:v>
      </x:c>
      <x:c r="B284" s="7" t="str">
        <x:v>年度</x:v>
      </x:c>
      <x:c r="C284" s="7" t="str">
        <x:v>ENV-P08</x:v>
      </x:c>
      <x:c r="D284" s="7" t="str">
        <x:v>運輸部門等の脱炭素化に向けた先進的システム社会実装促進</x:v>
      </x:c>
      <x:c r="E284" s="7" t="str">
        <x:v>運輸部門等の先進的システム社会実装促進が開始。EVエネルギー管理 充電 電池評価 自動配送などを組み合わせる。</x:v>
      </x:c>
      <x:c r="F284" s="7" t="str">
        <x:v>事業開始</x:v>
      </x:c>
      <x:c r="G284" s="7" t="str">
        <x:v>政策制度</x:v>
      </x:c>
      <x:c r="H284" s="7" t="str">
        <x:v>環境省</x:v>
      </x:c>
      <x:c r="I284" s="7" t="str"/>
      <x:c r="J284" s="7" t="str">
        <x:v>ENV-P08</x:v>
      </x:c>
      <x:c r="K284" s="18"/>
      <x:c r="L284" s="7" t="str">
        <x:v>2026年度</x:v>
      </x:c>
      <x:c r="M284" s="18" t="n">
        <x:v>46326</x:v>
      </x:c>
      <x:c r="N284" s="7" t="str">
        <x:v>S155</x:v>
      </x:c>
      <x:c r="O284" s="7" t="str">
        <x:v>https://www.env.go.jp/earth/earth/ondanka/enetoku/pamphlet/pdf/2026/enetoku_jigyo_gaiyo_2026-R8.pdf</x:v>
      </x:c>
      <x:c r="P284" s="7" t="str"/>
      <x:c r="Q284" s="7" t="str">
        <x:v>EV-90acab946d2c</x:v>
      </x:c>
      <x:c r="R284" s="7" t="str">
        <x:v>integrated</x:v>
      </x:c>
      <x:c r="S284" s="20" t="n">
        <x:v>2024</x:v>
      </x:c>
      <x:c r="T284" s="20" t="n">
        <x:v>4</x:v>
      </x:c>
      <x:c r="U284" s="7" t="str">
        <x:v>年度・年度末</x:v>
      </x:c>
      <x:c r="V284" s="18"/>
      <x:c r="W284" s="7" t="str">
        <x:v>SRC-04fb8f7ad1</x:v>
      </x:c>
      <x:c r="X284" s="7" t="str"/>
      <x:c r="Y284" s="20" t="n">
        <x:v>277</x:v>
      </x:c>
      <x:c r="Z284" s="7" t="str"/>
      <x:c r="AA284" s="7" t="str"/>
      <x:c r="AB284" s="7" t="str"/>
    </x:row>
    <x:row r="285" ht="30" customHeight="1">
      <x:c r="A285" s="7" t="str">
        <x:v>2024年度</x:v>
      </x:c>
      <x:c r="B285" s="7" t="str">
        <x:v>年度</x:v>
      </x:c>
      <x:c r="C285" s="7" t="str">
        <x:v>mlit_gunmadata</x:v>
      </x:c>
      <x:c r="D285" s="7" t="str">
        <x:v>群馬県地域公共交通計画DX</x:v>
      </x:c>
      <x:c r="E285" s="7" t="str">
        <x:v>実績報告公開（事業年度、公開日不詳）</x:v>
      </x:c>
      <x:c r="F285" s="7" t="str">
        <x:v>成果報告</x:v>
      </x:c>
      <x:c r="G285" s="7" t="str">
        <x:v>地域事例</x:v>
      </x:c>
      <x:c r="H285" s="7" t="str">
        <x:v>国土交通省</x:v>
      </x:c>
      <x:c r="I285" s="7" t="str">
        <x:v>群馬県みなかみ町・渋川市</x:v>
      </x:c>
      <x:c r="J285" s="7" t="str">
        <x:v>maas_japan</x:v>
      </x:c>
      <x:c r="K285" s="18"/>
      <x:c r="L285" s="7" t="str">
        <x:v>FY2024</x:v>
      </x:c>
      <x:c r="M285" s="18" t="n">
        <x:v>46326</x:v>
      </x:c>
      <x:c r="N285" s="7" t="str">
        <x:v>S263</x:v>
      </x:c>
      <x:c r="O285" s="7" t="str">
        <x:v>https://www.mlit.go.jp/sogoseisaku/transport/content/001891590.pdf</x:v>
      </x:c>
      <x:c r="P285" s="7" t="str">
        <x:v>同一期間内の厳密な前後関係は日付精度により未確定</x:v>
      </x:c>
      <x:c r="Q285" s="7" t="str">
        <x:v>EV-9287ef51c226</x:v>
      </x:c>
      <x:c r="R285" s="7" t="str">
        <x:v>mlit_gunmadata</x:v>
      </x:c>
      <x:c r="S285" s="20" t="n">
        <x:v>2024</x:v>
      </x:c>
      <x:c r="T285" s="20" t="n">
        <x:v>4</x:v>
      </x:c>
      <x:c r="U285" s="7" t="str">
        <x:v>年度・年度末</x:v>
      </x:c>
      <x:c r="V285" s="18"/>
      <x:c r="W285" s="7" t="str">
        <x:v>SRC-1e75c72403</x:v>
      </x:c>
      <x:c r="X285" s="7" t="str"/>
      <x:c r="Y285" s="20" t="n">
        <x:v>278</x:v>
      </x:c>
      <x:c r="Z285" s="7" t="str"/>
      <x:c r="AA285" s="7" t="str"/>
      <x:c r="AB285" s="7" t="str"/>
    </x:row>
    <x:row r="286" ht="40.400001525878906" customHeight="1">
      <x:c r="A286" s="7" t="str">
        <x:v>2024年度</x:v>
      </x:c>
      <x:c r="B286" s="7" t="str">
        <x:v>年度</x:v>
      </x:c>
      <x:c r="C286" s="7" t="str">
        <x:v>meti_kosai</x:v>
      </x:c>
      <x:c r="D286" s="7" t="str">
        <x:v>企業シャトルBaaS</x:v>
      </x:c>
      <x:c r="E286" s="7" t="str">
        <x:v>5か月505人利用、登録予約不要方式へ</x:v>
      </x:c>
      <x:c r="F286" s="7" t="str">
        <x:v>改善・実証</x:v>
      </x:c>
      <x:c r="G286" s="7" t="str">
        <x:v>地域事例</x:v>
      </x:c>
      <x:c r="H286" s="7" t="str">
        <x:v>経済産業省</x:v>
      </x:c>
      <x:c r="I286" s="7" t="str">
        <x:v>静岡県湖西市</x:v>
      </x:c>
      <x:c r="J286" s="7" t="str">
        <x:v>smc</x:v>
      </x:c>
      <x:c r="K286" s="18" t="n">
        <x:v>46000</x:v>
      </x:c>
      <x:c r="L286" s="7" t="str">
        <x:v>2025-12-09</x:v>
      </x:c>
      <x:c r="M286" s="18" t="n">
        <x:v>46326</x:v>
      </x:c>
      <x:c r="N286" s="7" t="str">
        <x:v>S079</x:v>
      </x:c>
      <x:c r="O286" s="7" t="str">
        <x:v>https://www.city.kosai.shizuoka.jp/material/files/group/26/shiryou1sannkou.pdf</x:v>
      </x:c>
      <x:c r="P286" s="7" t="str"/>
      <x:c r="Q286" s="7" t="str">
        <x:v>EV-97798ca4de9b</x:v>
      </x:c>
      <x:c r="R286" s="7" t="str">
        <x:v>meti_kosai</x:v>
      </x:c>
      <x:c r="S286" s="20" t="n">
        <x:v>2024</x:v>
      </x:c>
      <x:c r="T286" s="20" t="n">
        <x:v>4</x:v>
      </x:c>
      <x:c r="U286" s="7" t="str">
        <x:v>年度・年度末</x:v>
      </x:c>
      <x:c r="V286" s="18"/>
      <x:c r="W286" s="7" t="str">
        <x:v>SRC-65d143b215</x:v>
      </x:c>
      <x:c r="X286" s="7" t="str"/>
      <x:c r="Y286" s="20" t="n">
        <x:v>279</x:v>
      </x:c>
      <x:c r="Z286" s="7" t="str"/>
      <x:c r="AA286" s="7" t="str"/>
      <x:c r="AB286" s="7" t="str"/>
    </x:row>
    <x:row r="287" ht="40.400001525878906" customHeight="1">
      <x:c r="A287" s="7" t="str">
        <x:v>2024年度</x:v>
      </x:c>
      <x:c r="B287" s="7" t="str">
        <x:v>年度</x:v>
      </x:c>
      <x:c r="C287" s="7" t="str">
        <x:v>mlit_gunma</x:v>
      </x:c>
      <x:c r="D287" s="7" t="str">
        <x:v>MaeMaaSからGunMaaSへの移行と前橋 県域連携</x:v>
      </x:c>
      <x:c r="E287" s="7" t="str">
        <x:v>群馬県の取組 日本版MaaS採択（公式年度一覧）</x:v>
      </x:c>
      <x:c r="F287" s="7" t="str">
        <x:v>採択</x:v>
      </x:c>
      <x:c r="G287" s="7" t="str">
        <x:v>地域事例</x:v>
      </x:c>
      <x:c r="H287" s="7" t="str">
        <x:v>国土交通省
横断検証（個別所管は資料参照）</x:v>
      </x:c>
      <x:c r="I287" s="7" t="str">
        <x:v>群馬県</x:v>
      </x:c>
      <x:c r="J287" s="7" t="str">
        <x:v>maas_japan</x:v>
      </x:c>
      <x:c r="K287" s="18"/>
      <x:c r="L287" s="7" t="str"/>
      <x:c r="M287" s="18" t="n">
        <x:v>46326</x:v>
      </x:c>
      <x:c r="N287" s="7" t="str">
        <x:v>S271</x:v>
      </x:c>
      <x:c r="O287" s="7" t="str">
        <x:v>https://www.mlit.go.jp/sogoseisaku/transport/sosei_transport_tk_000160.html</x:v>
      </x:c>
      <x:c r="P287" s="7" t="str">
        <x:v>同一期間内の厳密な前後関係は日付精度により未確定</x:v>
      </x:c>
      <x:c r="Q287" s="7" t="str">
        <x:v>EV-9e427b4c1bcb</x:v>
      </x:c>
      <x:c r="R287" s="7" t="str">
        <x:v>mlit_gunma</x:v>
      </x:c>
      <x:c r="S287" s="20" t="n">
        <x:v>2024</x:v>
      </x:c>
      <x:c r="T287" s="20" t="n">
        <x:v>4</x:v>
      </x:c>
      <x:c r="U287" s="7" t="str">
        <x:v>年度・年度末</x:v>
      </x:c>
      <x:c r="V287" s="18"/>
      <x:c r="W287" s="7" t="str">
        <x:v>SRC-dc31021747</x:v>
      </x:c>
      <x:c r="X287" s="7" t="str"/>
      <x:c r="Y287" s="20" t="n">
        <x:v>280</x:v>
      </x:c>
      <x:c r="Z287" s="7" t="str"/>
      <x:c r="AA287" s="7" t="str"/>
      <x:c r="AB287" s="7" t="str"/>
    </x:row>
    <x:row r="288" ht="30" customHeight="1">
      <x:c r="A288" s="7" t="str">
        <x:v>2024年度</x:v>
      </x:c>
      <x:c r="B288" s="7" t="str">
        <x:v>年度</x:v>
      </x:c>
      <x:c r="C288" s="7" t="str">
        <x:v>ENV-C01</x:v>
      </x:c>
      <x:c r="D288" s="7" t="str">
        <x:v>南花台クルクル</x:v>
      </x:c>
      <x:c r="E288" s="7" t="str">
        <x:v>需要型2827人、住民会議12回</x:v>
      </x:c>
      <x:c r="F288" s="7" t="str">
        <x:v>稼働実績</x:v>
      </x:c>
      <x:c r="G288" s="7" t="str">
        <x:v>地域事例</x:v>
      </x:c>
      <x:c r="H288" s="7" t="str">
        <x:v>環境省</x:v>
      </x:c>
      <x:c r="I288" s="7" t="str">
        <x:v>大阪府河内長野市</x:v>
      </x:c>
      <x:c r="J288" s="7" t="str">
        <x:v>ENV-P02</x:v>
      </x:c>
      <x:c r="K288" s="18"/>
      <x:c r="L288" s="7" t="str">
        <x:v>2025年（2024年度実績）</x:v>
      </x:c>
      <x:c r="M288" s="18" t="n">
        <x:v>46326</x:v>
      </x:c>
      <x:c r="N288" s="7" t="str">
        <x:v>S077</x:v>
      </x:c>
      <x:c r="O288" s="7" t="str">
        <x:v>https://www.city.kawachinagano.lg.jp/uploaded/attachment/43648.pdf</x:v>
      </x:c>
      <x:c r="P288" s="7" t="str"/>
      <x:c r="Q288" s="7" t="str">
        <x:v>EV-9f981900d5b3</x:v>
      </x:c>
      <x:c r="R288" s="7" t="str">
        <x:v>ENV-C01</x:v>
      </x:c>
      <x:c r="S288" s="20" t="n">
        <x:v>2024</x:v>
      </x:c>
      <x:c r="T288" s="20" t="n">
        <x:v>4</x:v>
      </x:c>
      <x:c r="U288" s="7" t="str">
        <x:v>年度・年度末</x:v>
      </x:c>
      <x:c r="V288" s="18"/>
      <x:c r="W288" s="7" t="str">
        <x:v>SRC-ef928050fb</x:v>
      </x:c>
      <x:c r="X288" s="7" t="str"/>
      <x:c r="Y288" s="20" t="n">
        <x:v>281</x:v>
      </x:c>
      <x:c r="Z288" s="7" t="str"/>
      <x:c r="AA288" s="7" t="str"/>
      <x:c r="AB288" s="7" t="str"/>
    </x:row>
    <x:row r="289" ht="30" customHeight="1">
      <x:c r="A289" s="7" t="str">
        <x:v>2024年4月1日</x:v>
      </x:c>
      <x:c r="B289" s="7" t="str">
        <x:v>日</x:v>
      </x:c>
      <x:c r="C289" s="7" t="str">
        <x:v>V-C05</x:v>
      </x:c>
      <x:c r="D289" s="7" t="str">
        <x:v>のるーと塩尻</x:v>
      </x:c>
      <x:c r="E289" s="7" t="str">
        <x:v>広丘・吉田へ本格化</x:v>
      </x:c>
      <x:c r="F289" s="7" t="str">
        <x:v>拡張実装</x:v>
      </x:c>
      <x:c r="G289" s="7" t="str">
        <x:v>地域事例</x:v>
      </x:c>
      <x:c r="H289" s="7" t="str">
        <x:v>横断検証（個別所管は資料参照）</x:v>
      </x:c>
      <x:c r="I289" s="7" t="str">
        <x:v>長野県塩尻市</x:v>
      </x:c>
      <x:c r="J289" s="7" t="str"/>
      <x:c r="K289" s="18" t="str">
        <x:v>2024-04</x:v>
      </x:c>
      <x:c r="L289" s="7" t="str">
        <x:v>2024-04</x:v>
      </x:c>
      <x:c r="M289" s="18" t="n">
        <x:v>46326</x:v>
      </x:c>
      <x:c r="N289" s="7" t="str">
        <x:v>S108</x:v>
      </x:c>
      <x:c r="O289" s="7" t="str">
        <x:v>https://www.city.shiojiri.lg.jp/uploaded/attachment/28013.pdf</x:v>
      </x:c>
      <x:c r="P289" s="7" t="str"/>
      <x:c r="Q289" s="7" t="str">
        <x:v>EV-b78f0e900ec6</x:v>
      </x:c>
      <x:c r="R289" s="7" t="str">
        <x:v>V-C05</x:v>
      </x:c>
      <x:c r="S289" s="20" t="n">
        <x:v>2024</x:v>
      </x:c>
      <x:c r="T289" s="20" t="n">
        <x:v>4</x:v>
      </x:c>
      <x:c r="U289" s="7" t="str">
        <x:v>暦年・暦月</x:v>
      </x:c>
      <x:c r="V289" s="18" t="n">
        <x:v>45383</x:v>
      </x:c>
      <x:c r="W289" s="7" t="str">
        <x:v>SRC-21eeb6d244</x:v>
      </x:c>
      <x:c r="X289" s="7" t="str"/>
      <x:c r="Y289" s="20" t="n">
        <x:v>282</x:v>
      </x:c>
      <x:c r="Z289" s="7" t="str"/>
      <x:c r="AA289" s="7" t="str"/>
      <x:c r="AB289" s="7" t="str"/>
    </x:row>
    <x:row r="290" ht="40.400001525878906" customHeight="1">
      <x:c r="A290" s="7" t="str">
        <x:v>2024年度</x:v>
      </x:c>
      <x:c r="B290" s="7" t="str">
        <x:v>年度</x:v>
      </x:c>
      <x:c r="C290" s="7" t="str">
        <x:v>mlit_kansai</x:v>
      </x:c>
      <x:c r="D290" s="7" t="str">
        <x:v>KANSAI MaaS 共通QR</x:v>
      </x:c>
      <x:c r="E290" s="7" t="str">
        <x:v>日本版MaaS採択（公式年度一覧）</x:v>
      </x:c>
      <x:c r="F290" s="7" t="str">
        <x:v>採択</x:v>
      </x:c>
      <x:c r="G290" s="7" t="str">
        <x:v>地域事例</x:v>
      </x:c>
      <x:c r="H290" s="7" t="str">
        <x:v>国土交通省</x:v>
      </x:c>
      <x:c r="I290" s="7" t="str">
        <x:v>関西広域</x:v>
      </x:c>
      <x:c r="J290" s="7" t="str">
        <x:v>maas_japan</x:v>
      </x:c>
      <x:c r="K290" s="18"/>
      <x:c r="L290" s="7" t="str"/>
      <x:c r="M290" s="18" t="n">
        <x:v>46326</x:v>
      </x:c>
      <x:c r="N290" s="7" t="str">
        <x:v>S271</x:v>
      </x:c>
      <x:c r="O290" s="7" t="str">
        <x:v>https://www.mlit.go.jp/sogoseisaku/transport/sosei_transport_tk_000160.html</x:v>
      </x:c>
      <x:c r="P290" s="7" t="str">
        <x:v>同一期間内の厳密な前後関係は日付精度により未確定</x:v>
      </x:c>
      <x:c r="Q290" s="7" t="str">
        <x:v>EV-bdb319ed70e3</x:v>
      </x:c>
      <x:c r="R290" s="7" t="str">
        <x:v>mlit_kansai</x:v>
      </x:c>
      <x:c r="S290" s="20" t="n">
        <x:v>2024</x:v>
      </x:c>
      <x:c r="T290" s="20" t="n">
        <x:v>4</x:v>
      </x:c>
      <x:c r="U290" s="7" t="str">
        <x:v>年度・年度末</x:v>
      </x:c>
      <x:c r="V290" s="18"/>
      <x:c r="W290" s="7" t="str">
        <x:v>SRC-dc31021747</x:v>
      </x:c>
      <x:c r="X290" s="7" t="str"/>
      <x:c r="Y290" s="20" t="n">
        <x:v>283</x:v>
      </x:c>
      <x:c r="Z290" s="7" t="str"/>
      <x:c r="AA290" s="7" t="str"/>
      <x:c r="AB290" s="7" t="str"/>
    </x:row>
    <x:row r="291" ht="40.400001525878906" customHeight="1">
      <x:c r="A291" s="7" t="str">
        <x:v>2024年度</x:v>
      </x:c>
      <x:c r="B291" s="7" t="str">
        <x:v>年度</x:v>
      </x:c>
      <x:c r="C291" s="7" t="str">
        <x:v>mlit_universal</x:v>
      </x:c>
      <x:c r="D291" s="7" t="str">
        <x:v>Universal MaaS</x:v>
      </x:c>
      <x:c r="E291" s="7" t="str">
        <x:v>日本版MaaS採択（公式年度一覧）</x:v>
      </x:c>
      <x:c r="F291" s="7" t="str">
        <x:v>採択</x:v>
      </x:c>
      <x:c r="G291" s="7" t="str">
        <x:v>地域事例</x:v>
      </x:c>
      <x:c r="H291" s="7" t="str">
        <x:v>国土交通省</x:v>
      </x:c>
      <x:c r="I291" s="7" t="str">
        <x:v>旭川・東京等から全国航空便へ</x:v>
      </x:c>
      <x:c r="J291" s="7" t="str">
        <x:v>maas_japan</x:v>
      </x:c>
      <x:c r="K291" s="18"/>
      <x:c r="L291" s="7" t="str"/>
      <x:c r="M291" s="18" t="n">
        <x:v>46326</x:v>
      </x:c>
      <x:c r="N291" s="7" t="str">
        <x:v>S271</x:v>
      </x:c>
      <x:c r="O291" s="7" t="str">
        <x:v>https://www.mlit.go.jp/sogoseisaku/transport/sosei_transport_tk_000160.html</x:v>
      </x:c>
      <x:c r="P291" s="7" t="str"/>
      <x:c r="Q291" s="7" t="str">
        <x:v>EV-bdf50c0a67ff</x:v>
      </x:c>
      <x:c r="R291" s="7" t="str">
        <x:v>mlit_universal</x:v>
      </x:c>
      <x:c r="S291" s="20" t="n">
        <x:v>2024</x:v>
      </x:c>
      <x:c r="T291" s="20" t="n">
        <x:v>4</x:v>
      </x:c>
      <x:c r="U291" s="7" t="str">
        <x:v>年度・年度末</x:v>
      </x:c>
      <x:c r="V291" s="18"/>
      <x:c r="W291" s="7" t="str">
        <x:v>SRC-dc31021747</x:v>
      </x:c>
      <x:c r="X291" s="7" t="str"/>
      <x:c r="Y291" s="20" t="n">
        <x:v>284</x:v>
      </x:c>
      <x:c r="Z291" s="7" t="str"/>
      <x:c r="AA291" s="7" t="str"/>
      <x:c r="AB291" s="7" t="str"/>
    </x:row>
    <x:row r="292" ht="30" customHeight="1">
      <x:c r="A292" s="7" t="str">
        <x:v>2024年度</x:v>
      </x:c>
      <x:c r="B292" s="7" t="str">
        <x:v>年度</x:v>
      </x:c>
      <x:c r="C292" s="7" t="str">
        <x:v>mlit_yaeyama</x:v>
      </x:c>
      <x:c r="D292" s="7" t="str">
        <x:v>八重山MaaS</x:v>
      </x:c>
      <x:c r="E292" s="7" t="str">
        <x:v>実績報告公開（事業年度、公開日不詳）</x:v>
      </x:c>
      <x:c r="F292" s="7" t="str">
        <x:v>成果報告</x:v>
      </x:c>
      <x:c r="G292" s="7" t="str">
        <x:v>地域事例</x:v>
      </x:c>
      <x:c r="H292" s="7" t="str">
        <x:v>国土交通省</x:v>
      </x:c>
      <x:c r="I292" s="7" t="str">
        <x:v>沖縄県石垣市・竹富町等</x:v>
      </x:c>
      <x:c r="J292" s="7" t="str">
        <x:v>maas_japan</x:v>
      </x:c>
      <x:c r="K292" s="18"/>
      <x:c r="L292" s="7" t="str">
        <x:v>FY2024</x:v>
      </x:c>
      <x:c r="M292" s="18" t="n">
        <x:v>46326</x:v>
      </x:c>
      <x:c r="N292" s="7" t="str">
        <x:v>S269</x:v>
      </x:c>
      <x:c r="O292" s="7" t="str">
        <x:v>https://www.mlit.go.jp/sogoseisaku/transport/content/001891604.pdf</x:v>
      </x:c>
      <x:c r="P292" s="7" t="str"/>
      <x:c r="Q292" s="7" t="str">
        <x:v>EV-c29a6df7901c</x:v>
      </x:c>
      <x:c r="R292" s="7" t="str">
        <x:v>mlit_yaeyama</x:v>
      </x:c>
      <x:c r="S292" s="20" t="n">
        <x:v>2024</x:v>
      </x:c>
      <x:c r="T292" s="20" t="n">
        <x:v>4</x:v>
      </x:c>
      <x:c r="U292" s="7" t="str">
        <x:v>年度・年度末</x:v>
      </x:c>
      <x:c r="V292" s="18"/>
      <x:c r="W292" s="7" t="str">
        <x:v>SRC-1de8e7cc9d</x:v>
      </x:c>
      <x:c r="X292" s="7" t="str"/>
      <x:c r="Y292" s="20" t="n">
        <x:v>285</x:v>
      </x:c>
      <x:c r="Z292" s="7" t="str"/>
      <x:c r="AA292" s="7" t="str"/>
      <x:c r="AB292" s="7" t="str"/>
    </x:row>
    <x:row r="293" ht="40.400001525878906" customHeight="1">
      <x:c r="A293" s="7" t="str">
        <x:v>2024年度</x:v>
      </x:c>
      <x:c r="B293" s="7" t="str">
        <x:v>年度</x:v>
      </x:c>
      <x:c r="C293" s="7" t="str">
        <x:v>mlit_kyushu</x:v>
      </x:c>
      <x:c r="D293" s="7" t="str">
        <x:v>九州MaaS</x:v>
      </x:c>
      <x:c r="E293" s="7" t="str">
        <x:v>日本版MaaS採択（公式年度一覧）</x:v>
      </x:c>
      <x:c r="F293" s="7" t="str">
        <x:v>採択</x:v>
      </x:c>
      <x:c r="G293" s="7" t="str">
        <x:v>地域事例</x:v>
      </x:c>
      <x:c r="H293" s="7" t="str">
        <x:v>国土交通省</x:v>
      </x:c>
      <x:c r="I293" s="7" t="str">
        <x:v>九州7県</x:v>
      </x:c>
      <x:c r="J293" s="7" t="str">
        <x:v>maas_japan</x:v>
      </x:c>
      <x:c r="K293" s="18"/>
      <x:c r="L293" s="7" t="str"/>
      <x:c r="M293" s="18" t="n">
        <x:v>46326</x:v>
      </x:c>
      <x:c r="N293" s="7" t="str">
        <x:v>S271</x:v>
      </x:c>
      <x:c r="O293" s="7" t="str">
        <x:v>https://www.mlit.go.jp/sogoseisaku/transport/sosei_transport_tk_000160.html</x:v>
      </x:c>
      <x:c r="P293" s="7" t="str">
        <x:v>同一期間内の厳密な前後関係は日付精度により未確定</x:v>
      </x:c>
      <x:c r="Q293" s="7" t="str">
        <x:v>EV-c4aaa612a7cc</x:v>
      </x:c>
      <x:c r="R293" s="7" t="str">
        <x:v>mlit_kyushu</x:v>
      </x:c>
      <x:c r="S293" s="20" t="n">
        <x:v>2024</x:v>
      </x:c>
      <x:c r="T293" s="20" t="n">
        <x:v>4</x:v>
      </x:c>
      <x:c r="U293" s="7" t="str">
        <x:v>年度・年度末</x:v>
      </x:c>
      <x:c r="V293" s="18"/>
      <x:c r="W293" s="7" t="str">
        <x:v>SRC-dc31021747</x:v>
      </x:c>
      <x:c r="X293" s="7" t="str"/>
      <x:c r="Y293" s="20" t="n">
        <x:v>286</x:v>
      </x:c>
      <x:c r="Z293" s="7" t="str"/>
      <x:c r="AA293" s="7" t="str"/>
      <x:c r="AB293" s="7" t="str"/>
    </x:row>
    <x:row r="294" ht="40.400001525878906" customHeight="1">
      <x:c r="A294" s="7" t="str">
        <x:v>2024年度</x:v>
      </x:c>
      <x:c r="B294" s="7" t="str">
        <x:v>年度</x:v>
      </x:c>
      <x:c r="C294" s="7" t="str">
        <x:v>mlit_gunma</x:v>
      </x:c>
      <x:c r="D294" s="7" t="str">
        <x:v>MaeMaaSからGunMaaSへの移行と前橋 県域連携</x:v>
      </x:c>
      <x:c r="E294" s="7" t="str">
        <x:v>前橋市の取組 日本版MaaS採択（公式年度一覧）</x:v>
      </x:c>
      <x:c r="F294" s="7" t="str">
        <x:v>採択</x:v>
      </x:c>
      <x:c r="G294" s="7" t="str">
        <x:v>地域事例</x:v>
      </x:c>
      <x:c r="H294" s="7" t="str">
        <x:v>国土交通省
横断検証（個別所管は資料参照）</x:v>
      </x:c>
      <x:c r="I294" s="7" t="str">
        <x:v>群馬県</x:v>
      </x:c>
      <x:c r="J294" s="7" t="str">
        <x:v>maas_japan</x:v>
      </x:c>
      <x:c r="K294" s="18"/>
      <x:c r="L294" s="7" t="str"/>
      <x:c r="M294" s="18" t="n">
        <x:v>46326</x:v>
      </x:c>
      <x:c r="N294" s="7" t="str">
        <x:v>S271</x:v>
      </x:c>
      <x:c r="O294" s="7" t="str">
        <x:v>https://www.mlit.go.jp/sogoseisaku/transport/sosei_transport_tk_000160.html</x:v>
      </x:c>
      <x:c r="P294" s="7" t="str">
        <x:v>同一期間内の厳密な前後関係は日付精度により未確定</x:v>
      </x:c>
      <x:c r="Q294" s="7" t="str">
        <x:v>EV-c9fe3ae2c022</x:v>
      </x:c>
      <x:c r="R294" s="7" t="str">
        <x:v>mlit_maebashi</x:v>
      </x:c>
      <x:c r="S294" s="20" t="n">
        <x:v>2024</x:v>
      </x:c>
      <x:c r="T294" s="20" t="n">
        <x:v>4</x:v>
      </x:c>
      <x:c r="U294" s="7" t="str">
        <x:v>年度・年度末</x:v>
      </x:c>
      <x:c r="V294" s="18"/>
      <x:c r="W294" s="7" t="str">
        <x:v>SRC-dc31021747</x:v>
      </x:c>
      <x:c r="X294" s="7" t="str"/>
      <x:c r="Y294" s="20" t="n">
        <x:v>287</x:v>
      </x:c>
      <x:c r="Z294" s="7" t="str"/>
      <x:c r="AA294" s="7" t="str"/>
      <x:c r="AB294" s="7" t="str"/>
    </x:row>
    <x:row r="295" ht="40.400001525878906" customHeight="1">
      <x:c r="A295" s="7" t="str">
        <x:v>2024年度</x:v>
      </x:c>
      <x:c r="B295" s="7" t="str">
        <x:v>年度</x:v>
      </x:c>
      <x:c r="C295" s="7" t="str">
        <x:v>V-C08</x:v>
      </x:c>
      <x:c r="D295" s="7" t="str">
        <x:v>相模原グリーンスローモビリティ</x:v>
      </x:c>
      <x:c r="E295" s="7" t="str">
        <x:v>約1年の実証</x:v>
      </x:c>
      <x:c r="F295" s="7" t="str">
        <x:v>長期実証</x:v>
      </x:c>
      <x:c r="G295" s="7" t="str">
        <x:v>地域事例</x:v>
      </x:c>
      <x:c r="H295" s="7" t="str">
        <x:v>横断検証（個別所管は資料参照）</x:v>
      </x:c>
      <x:c r="I295" s="7" t="str">
        <x:v>神奈川県相模原市</x:v>
      </x:c>
      <x:c r="J295" s="7" t="str"/>
      <x:c r="K295" s="18"/>
      <x:c r="L295" s="7" t="str"/>
      <x:c r="M295" s="18" t="n">
        <x:v>46326</x:v>
      </x:c>
      <x:c r="N295" s="7" t="str">
        <x:v>S102</x:v>
      </x:c>
      <x:c r="O295" s="7" t="str">
        <x:v>https://www.city.sagamihara.kanagawa.jp/shisei/1026823/toshikotsu/1029044.html</x:v>
      </x:c>
      <x:c r="P295" s="7" t="str"/>
      <x:c r="Q295" s="7" t="str">
        <x:v>EV-d29cedbec0fe</x:v>
      </x:c>
      <x:c r="R295" s="7" t="str">
        <x:v>V-C08</x:v>
      </x:c>
      <x:c r="S295" s="20" t="n">
        <x:v>2024</x:v>
      </x:c>
      <x:c r="T295" s="20" t="n">
        <x:v>4</x:v>
      </x:c>
      <x:c r="U295" s="7" t="str">
        <x:v>年度・年度末</x:v>
      </x:c>
      <x:c r="V295" s="18"/>
      <x:c r="W295" s="7" t="str">
        <x:v>SRC-8a018442fd</x:v>
      </x:c>
      <x:c r="X295" s="7" t="str"/>
      <x:c r="Y295" s="20" t="n">
        <x:v>288</x:v>
      </x:c>
      <x:c r="Z295" s="7" t="str"/>
      <x:c r="AA295" s="7" t="str"/>
      <x:c r="AB295" s="7" t="str"/>
    </x:row>
    <x:row r="296" ht="40.400001525878906" customHeight="1">
      <x:c r="A296" s="7" t="str">
        <x:v>2024年度</x:v>
      </x:c>
      <x:c r="B296" s="7" t="str">
        <x:v>年度</x:v>
      </x:c>
      <x:c r="C296" s="7" t="str">
        <x:v>mlit_fukuoka</x:v>
      </x:c>
      <x:c r="D296" s="7" t="str">
        <x:v>福岡近未来MaaS</x:v>
      </x:c>
      <x:c r="E296" s="7" t="str">
        <x:v>日本版MaaS採択（公式年度一覧）</x:v>
      </x:c>
      <x:c r="F296" s="7" t="str">
        <x:v>採択</x:v>
      </x:c>
      <x:c r="G296" s="7" t="str">
        <x:v>地域事例</x:v>
      </x:c>
      <x:c r="H296" s="7" t="str">
        <x:v>国土交通省</x:v>
      </x:c>
      <x:c r="I296" s="7" t="str">
        <x:v>福岡県</x:v>
      </x:c>
      <x:c r="J296" s="7" t="str">
        <x:v>maas_japan</x:v>
      </x:c>
      <x:c r="K296" s="18"/>
      <x:c r="L296" s="7" t="str"/>
      <x:c r="M296" s="18" t="n">
        <x:v>46326</x:v>
      </x:c>
      <x:c r="N296" s="7" t="str">
        <x:v>S271</x:v>
      </x:c>
      <x:c r="O296" s="7" t="str">
        <x:v>https://www.mlit.go.jp/sogoseisaku/transport/sosei_transport_tk_000160.html</x:v>
      </x:c>
      <x:c r="P296" s="7" t="str">
        <x:v>同一期間内の厳密な前後関係は日付精度により未確定</x:v>
      </x:c>
      <x:c r="Q296" s="7" t="str">
        <x:v>EV-d53b3e555330</x:v>
      </x:c>
      <x:c r="R296" s="7" t="str">
        <x:v>mlit_fukuoka</x:v>
      </x:c>
      <x:c r="S296" s="20" t="n">
        <x:v>2024</x:v>
      </x:c>
      <x:c r="T296" s="20" t="n">
        <x:v>4</x:v>
      </x:c>
      <x:c r="U296" s="7" t="str">
        <x:v>年度・年度末</x:v>
      </x:c>
      <x:c r="V296" s="18"/>
      <x:c r="W296" s="7" t="str">
        <x:v>SRC-dc31021747</x:v>
      </x:c>
      <x:c r="X296" s="7" t="str"/>
      <x:c r="Y296" s="20" t="n">
        <x:v>289</x:v>
      </x:c>
      <x:c r="Z296" s="7" t="str"/>
      <x:c r="AA296" s="7" t="str"/>
      <x:c r="AB296" s="7" t="str"/>
    </x:row>
    <x:row r="297" ht="30" customHeight="1">
      <x:c r="A297" s="7" t="str">
        <x:v>2024年度</x:v>
      </x:c>
      <x:c r="B297" s="7" t="str">
        <x:v>年度</x:v>
      </x:c>
      <x:c r="C297" s="7" t="str">
        <x:v>mlit_universal</x:v>
      </x:c>
      <x:c r="D297" s="7" t="str">
        <x:v>Universal MaaS</x:v>
      </x:c>
      <x:c r="E297" s="7" t="str">
        <x:v>実績報告公開（事業年度、公開日不詳）</x:v>
      </x:c>
      <x:c r="F297" s="7" t="str">
        <x:v>成果報告</x:v>
      </x:c>
      <x:c r="G297" s="7" t="str">
        <x:v>地域事例</x:v>
      </x:c>
      <x:c r="H297" s="7" t="str">
        <x:v>国土交通省</x:v>
      </x:c>
      <x:c r="I297" s="7" t="str">
        <x:v>旭川・東京等から全国航空便へ</x:v>
      </x:c>
      <x:c r="J297" s="7" t="str">
        <x:v>maas_japan</x:v>
      </x:c>
      <x:c r="K297" s="18"/>
      <x:c r="L297" s="7" t="str">
        <x:v>FY2024</x:v>
      </x:c>
      <x:c r="M297" s="18" t="n">
        <x:v>46326</x:v>
      </x:c>
      <x:c r="N297" s="7" t="str">
        <x:v>S259</x:v>
      </x:c>
      <x:c r="O297" s="7" t="str">
        <x:v>https://www.mlit.go.jp/sogoseisaku/transport/content/001891586.pdf</x:v>
      </x:c>
      <x:c r="P297" s="7" t="str">
        <x:v>同一期間内の厳密な前後関係は日付精度により未確定</x:v>
      </x:c>
      <x:c r="Q297" s="7" t="str">
        <x:v>EV-dfe696213f59</x:v>
      </x:c>
      <x:c r="R297" s="7" t="str">
        <x:v>mlit_universal</x:v>
      </x:c>
      <x:c r="S297" s="20" t="n">
        <x:v>2024</x:v>
      </x:c>
      <x:c r="T297" s="20" t="n">
        <x:v>4</x:v>
      </x:c>
      <x:c r="U297" s="7" t="str">
        <x:v>年度・年度末</x:v>
      </x:c>
      <x:c r="V297" s="18"/>
      <x:c r="W297" s="7" t="str">
        <x:v>SRC-311a30ee58</x:v>
      </x:c>
      <x:c r="X297" s="7" t="str"/>
      <x:c r="Y297" s="20" t="n">
        <x:v>290</x:v>
      </x:c>
      <x:c r="Z297" s="7" t="str"/>
      <x:c r="AA297" s="7" t="str"/>
      <x:c r="AB297" s="7" t="str"/>
    </x:row>
    <x:row r="298" ht="40.400001525878906" customHeight="1">
      <x:c r="A298" s="7" t="str">
        <x:v>2024年度</x:v>
      </x:c>
      <x:c r="B298" s="7" t="str">
        <x:v>年度</x:v>
      </x:c>
      <x:c r="C298" s="7" t="str">
        <x:v>mlit_gunma</x:v>
      </x:c>
      <x:c r="D298" s="7" t="str">
        <x:v>MaeMaaSからGunMaaSへの移行と前橋 県域連携</x:v>
      </x:c>
      <x:c r="E298" s="7" t="str">
        <x:v>前橋市の取組 実績報告公開（事業年度、公開日不詳）</x:v>
      </x:c>
      <x:c r="F298" s="7" t="str">
        <x:v>成果報告</x:v>
      </x:c>
      <x:c r="G298" s="7" t="str">
        <x:v>地域事例</x:v>
      </x:c>
      <x:c r="H298" s="7" t="str">
        <x:v>国土交通省
横断検証（個別所管は資料参照）</x:v>
      </x:c>
      <x:c r="I298" s="7" t="str">
        <x:v>群馬県</x:v>
      </x:c>
      <x:c r="J298" s="7" t="str">
        <x:v>maas_japan</x:v>
      </x:c>
      <x:c r="K298" s="18"/>
      <x:c r="L298" s="7" t="str">
        <x:v>FY2024</x:v>
      </x:c>
      <x:c r="M298" s="18" t="n">
        <x:v>46326</x:v>
      </x:c>
      <x:c r="N298" s="7" t="str">
        <x:v>S261</x:v>
      </x:c>
      <x:c r="O298" s="7" t="str">
        <x:v>https://www.mlit.go.jp/sogoseisaku/transport/content/001891588.pdf</x:v>
      </x:c>
      <x:c r="P298" s="7" t="str">
        <x:v>同一期間内の厳密な前後関係は日付精度により未確定</x:v>
      </x:c>
      <x:c r="Q298" s="7" t="str">
        <x:v>EV-e2d4c05a8cc8</x:v>
      </x:c>
      <x:c r="R298" s="7" t="str">
        <x:v>mlit_maebashi</x:v>
      </x:c>
      <x:c r="S298" s="20" t="n">
        <x:v>2024</x:v>
      </x:c>
      <x:c r="T298" s="20" t="n">
        <x:v>4</x:v>
      </x:c>
      <x:c r="U298" s="7" t="str">
        <x:v>年度・年度末</x:v>
      </x:c>
      <x:c r="V298" s="18"/>
      <x:c r="W298" s="7" t="str">
        <x:v>SRC-4ccec8e791</x:v>
      </x:c>
      <x:c r="X298" s="7" t="str"/>
      <x:c r="Y298" s="20" t="n">
        <x:v>291</x:v>
      </x:c>
      <x:c r="Z298" s="7" t="str"/>
      <x:c r="AA298" s="7" t="str"/>
      <x:c r="AB298" s="7" t="str"/>
    </x:row>
    <x:row r="299" ht="40.400001525878906" customHeight="1">
      <x:c r="A299" s="7" t="str">
        <x:v>2024年度</x:v>
      </x:c>
      <x:c r="B299" s="7" t="str">
        <x:v>年度</x:v>
      </x:c>
      <x:c r="C299" s="7" t="str">
        <x:v>ENV-C07</x:v>
      </x:c>
      <x:c r="D299" s="7" t="str">
        <x:v>地域再エネEVシェア eemo・公用利用</x:v>
      </x:c>
      <x:c r="E299" s="7" t="str">
        <x:v>公用走行63624km、6.6t削減推計、EV累計18台</x:v>
      </x:c>
      <x:c r="F299" s="7" t="str">
        <x:v>稼働評価</x:v>
      </x:c>
      <x:c r="G299" s="7" t="str">
        <x:v>地域事例</x:v>
      </x:c>
      <x:c r="H299" s="7" t="str">
        <x:v>環境省</x:v>
      </x:c>
      <x:c r="I299" s="7" t="str">
        <x:v>神奈川県小田原市</x:v>
      </x:c>
      <x:c r="J299" s="7" t="str"/>
      <x:c r="K299" s="18" t="str">
        <x:v>2026-03</x:v>
      </x:c>
      <x:c r="L299" s="7" t="str">
        <x:v>2026-03</x:v>
      </x:c>
      <x:c r="M299" s="18" t="n">
        <x:v>46326</x:v>
      </x:c>
      <x:c r="N299" s="7" t="str">
        <x:v>S097</x:v>
      </x:c>
      <x:c r="O299" s="7" t="str">
        <x:v>https://www.city.odawara.kanagawa.jp/global-image/units/670149/1-20260305105128_b69a8e1a0d28d1.pdf</x:v>
      </x:c>
      <x:c r="P299" s="7" t="str"/>
      <x:c r="Q299" s="7" t="str">
        <x:v>EV-ea70035252cd</x:v>
      </x:c>
      <x:c r="R299" s="7" t="str">
        <x:v>ENV-C07</x:v>
      </x:c>
      <x:c r="S299" s="20" t="n">
        <x:v>2024</x:v>
      </x:c>
      <x:c r="T299" s="20" t="n">
        <x:v>4</x:v>
      </x:c>
      <x:c r="U299" s="7" t="str">
        <x:v>年度・年度末</x:v>
      </x:c>
      <x:c r="V299" s="18"/>
      <x:c r="W299" s="7" t="str">
        <x:v>SRC-602cc6f972</x:v>
      </x:c>
      <x:c r="X299" s="7" t="str"/>
      <x:c r="Y299" s="20" t="n">
        <x:v>292</x:v>
      </x:c>
      <x:c r="Z299" s="7" t="str"/>
      <x:c r="AA299" s="7" t="str"/>
      <x:c r="AB299" s="7" t="str"/>
    </x:row>
    <x:row r="300" ht="40.400001525878906" customHeight="1">
      <x:c r="A300" s="7" t="str">
        <x:v>2024年度</x:v>
      </x:c>
      <x:c r="B300" s="7" t="str">
        <x:v>年度</x:v>
      </x:c>
      <x:c r="C300" s="7" t="str">
        <x:v>mlit_miura</x:v>
      </x:c>
      <x:c r="D300" s="7" t="str">
        <x:v>三浦半島newcal</x:v>
      </x:c>
      <x:c r="E300" s="7" t="str">
        <x:v>日本版MaaS採択（公式年度一覧）</x:v>
      </x:c>
      <x:c r="F300" s="7" t="str">
        <x:v>採択</x:v>
      </x:c>
      <x:c r="G300" s="7" t="str">
        <x:v>地域事例</x:v>
      </x:c>
      <x:c r="H300" s="7" t="str">
        <x:v>国土交通省</x:v>
      </x:c>
      <x:c r="I300" s="7" t="str">
        <x:v>神奈川県三浦半島</x:v>
      </x:c>
      <x:c r="J300" s="7" t="str">
        <x:v>maas_japan</x:v>
      </x:c>
      <x:c r="K300" s="18"/>
      <x:c r="L300" s="7" t="str"/>
      <x:c r="M300" s="18" t="n">
        <x:v>46326</x:v>
      </x:c>
      <x:c r="N300" s="7" t="str">
        <x:v>S271</x:v>
      </x:c>
      <x:c r="O300" s="7" t="str">
        <x:v>https://www.mlit.go.jp/sogoseisaku/transport/sosei_transport_tk_000160.html</x:v>
      </x:c>
      <x:c r="P300" s="7" t="str">
        <x:v>同一期間内の厳密な前後関係は日付精度により未確定</x:v>
      </x:c>
      <x:c r="Q300" s="7" t="str">
        <x:v>EV-ebdb904937ae</x:v>
      </x:c>
      <x:c r="R300" s="7" t="str">
        <x:v>mlit_miura</x:v>
      </x:c>
      <x:c r="S300" s="20" t="n">
        <x:v>2024</x:v>
      </x:c>
      <x:c r="T300" s="20" t="n">
        <x:v>4</x:v>
      </x:c>
      <x:c r="U300" s="7" t="str">
        <x:v>年度・年度末</x:v>
      </x:c>
      <x:c r="V300" s="18"/>
      <x:c r="W300" s="7" t="str">
        <x:v>SRC-dc31021747</x:v>
      </x:c>
      <x:c r="X300" s="7" t="str"/>
      <x:c r="Y300" s="20" t="n">
        <x:v>293</x:v>
      </x:c>
      <x:c r="Z300" s="7" t="str"/>
      <x:c r="AA300" s="7" t="str"/>
      <x:c r="AB300" s="7" t="str"/>
    </x:row>
    <x:row r="301" ht="40.400001525878906" customHeight="1">
      <x:c r="A301" s="7" t="str">
        <x:v>2024年度</x:v>
      </x:c>
      <x:c r="B301" s="7" t="str">
        <x:v>年度</x:v>
      </x:c>
      <x:c r="C301" s="7" t="str">
        <x:v>meti_mitoyo</x:v>
      </x:c>
      <x:c r="D301" s="7" t="str">
        <x:v>ゴイッショみとよ共同送迎</x:v>
      </x:c>
      <x:c r="E301" s="7" t="str">
        <x:v>送迎人数減少・新施設参画なし、登録104人・2,955回</x:v>
      </x:c>
      <x:c r="F301" s="7" t="str">
        <x:v>運行実績/課題</x:v>
      </x:c>
      <x:c r="G301" s="7" t="str">
        <x:v>地域事例</x:v>
      </x:c>
      <x:c r="H301" s="7" t="str">
        <x:v>経済産業省</x:v>
      </x:c>
      <x:c r="I301" s="7" t="str">
        <x:v>香川県三豊市</x:v>
      </x:c>
      <x:c r="J301" s="7" t="str">
        <x:v>smc</x:v>
      </x:c>
      <x:c r="K301" s="18"/>
      <x:c r="L301" s="7" t="str"/>
      <x:c r="M301" s="18" t="n">
        <x:v>46326</x:v>
      </x:c>
      <x:c r="N301" s="7" t="str">
        <x:v>S219</x:v>
      </x:c>
      <x:c r="O301" s="7" t="str">
        <x:v>https://www.mitoyoshakyo.or.jp/archives/014/202506/R6%E5%B9%B4%E5%BA%A6%E4%BA%8B%E6%A5%AD%E5%A0%B1%E5%91%8A%E6%9B%B8.pdf</x:v>
      </x:c>
      <x:c r="P301" s="7" t="str"/>
      <x:c r="Q301" s="7" t="str">
        <x:v>EV-ecd8c61dbdbc</x:v>
      </x:c>
      <x:c r="R301" s="7" t="str">
        <x:v>meti_mitoyo</x:v>
      </x:c>
      <x:c r="S301" s="20" t="n">
        <x:v>2024</x:v>
      </x:c>
      <x:c r="T301" s="20" t="n">
        <x:v>4</x:v>
      </x:c>
      <x:c r="U301" s="7" t="str">
        <x:v>年度・年度末</x:v>
      </x:c>
      <x:c r="V301" s="18"/>
      <x:c r="W301" s="7" t="str">
        <x:v>SRC-70a43f8cc7</x:v>
      </x:c>
      <x:c r="X301" s="7" t="str"/>
      <x:c r="Y301" s="20" t="n">
        <x:v>294</x:v>
      </x:c>
      <x:c r="Z301" s="7" t="str"/>
      <x:c r="AA301" s="7" t="str"/>
      <x:c r="AB301" s="7" t="str"/>
    </x:row>
    <x:row r="302" ht="54.599998474121094" customHeight="1">
      <x:c r="A302" s="7" t="str">
        <x:v>2024年度</x:v>
      </x:c>
      <x:c r="B302" s="7" t="str">
        <x:v>年度</x:v>
      </x:c>
      <x:c r="C302" s="7" t="str">
        <x:v>ENV-P07</x:v>
      </x:c>
      <x:c r="D302" s="7" t="str">
        <x:v>配送拠点のエネルギーステーション化／電池交換式EV物流</x:v>
      </x:c>
      <x:c r="E302" s="7" t="str">
        <x:v>配送拠点のエネルギーステーション化と電池交換式EVの支援は最終年度の継続案件に限定。車両の稼働終了とは別。</x:v>
      </x:c>
      <x:c r="F302" s="7" t="str">
        <x:v>継続案件限定</x:v>
      </x:c>
      <x:c r="G302" s="7" t="str">
        <x:v>政策制度</x:v>
      </x:c>
      <x:c r="H302" s="7" t="str">
        <x:v>環境省</x:v>
      </x:c>
      <x:c r="I302" s="7" t="str"/>
      <x:c r="J302" s="7" t="str">
        <x:v>ENV-P07</x:v>
      </x:c>
      <x:c r="K302" s="18"/>
      <x:c r="L302" s="7" t="str">
        <x:v>2024年度</x:v>
      </x:c>
      <x:c r="M302" s="18" t="n">
        <x:v>46326</x:v>
      </x:c>
      <x:c r="N302" s="7" t="str">
        <x:v>S153</x:v>
      </x:c>
      <x:c r="O302" s="7" t="str">
        <x:v>https://www.env.go.jp/earth/earth/ondanka/enetoku/2024/?word=%E3%82%BC%E3%83%AD%E3%82%AB%E3%83%BC%E3%83%9C%E3%83%B3%E3%82%B7%E3%83%86%E3%82%A3</x:v>
      </x:c>
      <x:c r="P302" s="7" t="str"/>
      <x:c r="Q302" s="7" t="str">
        <x:v>EV-f1f4754062a8</x:v>
      </x:c>
      <x:c r="R302" s="7" t="str">
        <x:v>integrated</x:v>
      </x:c>
      <x:c r="S302" s="20" t="n">
        <x:v>2024</x:v>
      </x:c>
      <x:c r="T302" s="20" t="n">
        <x:v>4</x:v>
      </x:c>
      <x:c r="U302" s="7" t="str">
        <x:v>年度・年度末</x:v>
      </x:c>
      <x:c r="V302" s="18"/>
      <x:c r="W302" s="7" t="str">
        <x:v>SRC-008ea08a9d</x:v>
      </x:c>
      <x:c r="X302" s="7" t="str"/>
      <x:c r="Y302" s="20" t="n">
        <x:v>295</x:v>
      </x:c>
      <x:c r="Z302" s="7" t="str"/>
      <x:c r="AA302" s="7" t="str"/>
      <x:c r="AB302" s="7" t="str"/>
    </x:row>
    <x:row r="303" ht="40.400001525878906" customHeight="1">
      <x:c r="A303" s="7" t="str">
        <x:v>2024年4月</x:v>
      </x:c>
      <x:c r="B303" s="7" t="str">
        <x:v>月</x:v>
      </x:c>
      <x:c r="C303" s="7" t="str">
        <x:v>meti_wajima</x:v>
      </x:c>
      <x:c r="D303" s="7" t="str">
        <x:v>輪島ラストマイル遠隔自動運転</x:v>
      </x:c>
      <x:c r="E303" s="7" t="str">
        <x:v>国事業後の輪島独自取組を研究者が回顧</x:v>
      </x:c>
      <x:c r="F303" s="7" t="str">
        <x:v>履歴確認</x:v>
      </x:c>
      <x:c r="G303" s="7" t="str">
        <x:v>地域事例</x:v>
      </x:c>
      <x:c r="H303" s="7" t="str">
        <x:v>経済産業省</x:v>
      </x:c>
      <x:c r="I303" s="7" t="str">
        <x:v>石川県輪島市</x:v>
      </x:c>
      <x:c r="J303" s="7" t="str">
        <x:v>lastmile</x:v>
      </x:c>
      <x:c r="K303" s="18" t="str">
        <x:v>2024-04</x:v>
      </x:c>
      <x:c r="L303" s="7" t="str">
        <x:v>2024-04</x:v>
      </x:c>
      <x:c r="M303" s="18" t="n">
        <x:v>46326</x:v>
      </x:c>
      <x:c r="N303" s="7" t="str">
        <x:v>S186</x:v>
      </x:c>
      <x:c r="O303" s="7" t="str">
        <x:v>https://www.jstage.jst.go.jp/article/jarijrj/2024/4/2024_JRJ20240401/_html/-char/ja</x:v>
      </x:c>
      <x:c r="P303" s="7" t="str"/>
      <x:c r="Q303" s="7" t="str">
        <x:v>EV-f461e16bce98</x:v>
      </x:c>
      <x:c r="R303" s="7" t="str">
        <x:v>meti_wajima</x:v>
      </x:c>
      <x:c r="S303" s="20" t="n">
        <x:v>2024</x:v>
      </x:c>
      <x:c r="T303" s="20" t="n">
        <x:v>4</x:v>
      </x:c>
      <x:c r="U303" s="7" t="str">
        <x:v>暦年・暦月</x:v>
      </x:c>
      <x:c r="V303" s="18"/>
      <x:c r="W303" s="7" t="str">
        <x:v>SRC-170a29faaa</x:v>
      </x:c>
      <x:c r="X303" s="7" t="str"/>
      <x:c r="Y303" s="20" t="n">
        <x:v>296</x:v>
      </x:c>
      <x:c r="Z303" s="7" t="str"/>
      <x:c r="AA303" s="7" t="str"/>
      <x:c r="AB303" s="7" t="str"/>
    </x:row>
    <x:row r="304" ht="40.400001525878906" customHeight="1">
      <x:c r="A304" s="7" t="str">
        <x:v>2024年度</x:v>
      </x:c>
      <x:c r="B304" s="7" t="str">
        <x:v>年度</x:v>
      </x:c>
      <x:c r="C304" s="7" t="str">
        <x:v>mlit_yaeyama</x:v>
      </x:c>
      <x:c r="D304" s="7" t="str">
        <x:v>八重山MaaS</x:v>
      </x:c>
      <x:c r="E304" s="7" t="str">
        <x:v>日本版MaaS採択（公式年度一覧）</x:v>
      </x:c>
      <x:c r="F304" s="7" t="str">
        <x:v>採択</x:v>
      </x:c>
      <x:c r="G304" s="7" t="str">
        <x:v>地域事例</x:v>
      </x:c>
      <x:c r="H304" s="7" t="str">
        <x:v>国土交通省</x:v>
      </x:c>
      <x:c r="I304" s="7" t="str">
        <x:v>沖縄県石垣市・竹富町等</x:v>
      </x:c>
      <x:c r="J304" s="7" t="str">
        <x:v>maas_japan</x:v>
      </x:c>
      <x:c r="K304" s="18"/>
      <x:c r="L304" s="7" t="str"/>
      <x:c r="M304" s="18" t="n">
        <x:v>46326</x:v>
      </x:c>
      <x:c r="N304" s="7" t="str">
        <x:v>S271</x:v>
      </x:c>
      <x:c r="O304" s="7" t="str">
        <x:v>https://www.mlit.go.jp/sogoseisaku/transport/sosei_transport_tk_000160.html</x:v>
      </x:c>
      <x:c r="P304" s="7" t="str">
        <x:v>同一期間内の厳密な前後関係は日付精度により未確定</x:v>
      </x:c>
      <x:c r="Q304" s="7" t="str">
        <x:v>EV-fe1637c38e3f</x:v>
      </x:c>
      <x:c r="R304" s="7" t="str">
        <x:v>mlit_yaeyama</x:v>
      </x:c>
      <x:c r="S304" s="20" t="n">
        <x:v>2024</x:v>
      </x:c>
      <x:c r="T304" s="20" t="n">
        <x:v>4</x:v>
      </x:c>
      <x:c r="U304" s="7" t="str">
        <x:v>年度・年度末</x:v>
      </x:c>
      <x:c r="V304" s="18"/>
      <x:c r="W304" s="7" t="str">
        <x:v>SRC-dc31021747</x:v>
      </x:c>
      <x:c r="X304" s="7" t="str"/>
      <x:c r="Y304" s="20" t="n">
        <x:v>297</x:v>
      </x:c>
      <x:c r="Z304" s="7" t="str"/>
      <x:c r="AA304" s="7" t="str"/>
      <x:c r="AB304" s="7" t="str"/>
    </x:row>
    <x:row r="305" ht="68.80000305175781" customHeight="1">
      <x:c r="A305" s="7" t="str">
        <x:v>2024年5月24日</x:v>
      </x:c>
      <x:c r="B305" s="7" t="str">
        <x:v>日</x:v>
      </x:c>
      <x:c r="C305" s="7" t="str">
        <x:v>DIG-C14</x:v>
      </x:c>
      <x:c r="D305" s="7" t="str">
        <x:v>高蔵寺ニュータウン・モビリティハブ</x:v>
      </x:c>
      <x:c r="E305" s="7" t="str">
        <x:v>第2段階実証終了（開始から137日）。国交省MaaS・愛知県・SIP・民間投資を組合せ。</x:v>
      </x:c>
      <x:c r="F305" s="7" t="str">
        <x:v>実証完了</x:v>
      </x:c>
      <x:c r="G305" s="7" t="str">
        <x:v>地域事例</x:v>
      </x:c>
      <x:c r="H305" s="7" t="str">
        <x:v>内閣府CSTI
NEDO
経済産業省
内閣府・総務省・デジタル庁等</x:v>
      </x:c>
      <x:c r="I305" s="7" t="str">
        <x:v>愛知県春日井市</x:v>
      </x:c>
      <x:c r="J305" s="7" t="str">
        <x:v>DIG-P04</x:v>
      </x:c>
      <x:c r="K305" s="18"/>
      <x:c r="L305" s="7" t="str">
        <x:v>2026（FY2025報告）</x:v>
      </x:c>
      <x:c r="M305" s="18" t="n">
        <x:v>46326</x:v>
      </x:c>
      <x:c r="N305" s="7" t="str">
        <x:v>S047</x:v>
      </x:c>
      <x:c r="O305" s="7" t="str">
        <x:v>https://sip3.nedo.go.jp/smartmobility/upload/docs/fff151fc3abc36822d34b4009cbc88f664668456.pdf</x:v>
      </x:c>
      <x:c r="P305" s="7" t="str"/>
      <x:c r="Q305" s="7" t="str">
        <x:v>EV-6d1a2e31b6c1</x:v>
      </x:c>
      <x:c r="R305" s="7" t="str">
        <x:v>DIG-C14</x:v>
      </x:c>
      <x:c r="S305" s="20" t="n">
        <x:v>2024</x:v>
      </x:c>
      <x:c r="T305" s="20" t="n">
        <x:v>5</x:v>
      </x:c>
      <x:c r="U305" s="7" t="str">
        <x:v>暦年・暦月</x:v>
      </x:c>
      <x:c r="V305" s="18" t="n">
        <x:v>45436</x:v>
      </x:c>
      <x:c r="W305" s="7" t="str">
        <x:v>SRC-2441cac973</x:v>
      </x:c>
      <x:c r="X305" s="7" t="str"/>
      <x:c r="Y305" s="20" t="n">
        <x:v>298</x:v>
      </x:c>
      <x:c r="Z305" s="7" t="str"/>
      <x:c r="AA305" s="7" t="str"/>
      <x:c r="AB305" s="7" t="str"/>
    </x:row>
    <x:row r="306" ht="125.5999984741211" customHeight="1">
      <x:c r="A306" s="7" t="str">
        <x:v>2024年6月</x:v>
      </x:c>
      <x:c r="B306" s="7" t="str">
        <x:v>月</x:v>
      </x:c>
      <x:c r="C306" s="7" t="str">
        <x:v>DIG-C19</x:v>
      </x:c>
      <x:c r="D306" s="7" t="str">
        <x:v>日立市大甕駅周辺・自動運転サービス支援道</x:v>
      </x:c>
      <x:c r="E306" s="7" t="str">
        <x:v>全国総合整備計画に基づく支援道先行整備の枠組み。</x:v>
      </x:c>
      <x:c r="F306" s="7" t="str">
        <x:v>政策背景</x:v>
      </x:c>
      <x:c r="G306" s="7" t="str">
        <x:v>地域事例</x:v>
      </x:c>
      <x:c r="H306" s="7" t="str">
        <x:v>経済産業省
NEDO
IPA DADC
デジタル庁・デジタル行財政改革会議
デジタル庁
関係府省庁
地方自治体
内閣府・総務省・デジタル庁等</x:v>
      </x:c>
      <x:c r="I306" s="7" t="str">
        <x:v>茨城県日立市</x:v>
      </x:c>
      <x:c r="J306" s="7" t="str">
        <x:v>DIG-P16
DIG-P11</x:v>
      </x:c>
      <x:c r="K306" s="18" t="str">
        <x:v>2024-06</x:v>
      </x:c>
      <x:c r="L306" s="7" t="str">
        <x:v>2024-06</x:v>
      </x:c>
      <x:c r="M306" s="18" t="n">
        <x:v>46326</x:v>
      </x:c>
      <x:c r="N306" s="7" t="str">
        <x:v>S204</x:v>
      </x:c>
      <x:c r="O306" s="7" t="str">
        <x:v>https://www.meti.go.jp/policy/mono_info_service/digital_architecture/keikaku.pdf</x:v>
      </x:c>
      <x:c r="P306" s="7" t="str">
        <x:v>同一期間内の厳密な前後関係は日付精度により未確定</x:v>
      </x:c>
      <x:c r="Q306" s="7" t="str">
        <x:v>EV-7d9925b705f6</x:v>
      </x:c>
      <x:c r="R306" s="7" t="str">
        <x:v>DIG-C19</x:v>
      </x:c>
      <x:c r="S306" s="20" t="n">
        <x:v>2024</x:v>
      </x:c>
      <x:c r="T306" s="20" t="n">
        <x:v>6</x:v>
      </x:c>
      <x:c r="U306" s="7" t="str">
        <x:v>暦年・暦月</x:v>
      </x:c>
      <x:c r="V306" s="18"/>
      <x:c r="W306" s="7" t="str">
        <x:v>SRC-e6fc31a150</x:v>
      </x:c>
      <x:c r="X306" s="7" t="str"/>
      <x:c r="Y306" s="20" t="n">
        <x:v>299</x:v>
      </x:c>
      <x:c r="Z306" s="7" t="str"/>
      <x:c r="AA306" s="7" t="str"/>
      <x:c r="AB306" s="7" t="str"/>
    </x:row>
    <x:row r="307" ht="68.80000305175781" customHeight="1">
      <x:c r="A307" s="7" t="str">
        <x:v>2024年6月</x:v>
      </x:c>
      <x:c r="B307" s="7" t="str">
        <x:v>月</x:v>
      </x:c>
      <x:c r="C307" s="7" t="str">
        <x:v>DIG-P16</x:v>
      </x:c>
      <x:c r="D307" s="7" t="str">
        <x:v>デジタルライフライン全国総合整備計画／整備事業</x:v>
      </x:c>
      <x:c r="E307" s="7" t="str">
        <x:v>デジタルライフライン全国総合整備計画を関係会議で共同決定。</x:v>
      </x:c>
      <x:c r="F307" s="7" t="str">
        <x:v>計画決定</x:v>
      </x:c>
      <x:c r="G307" s="7" t="str">
        <x:v>政策制度</x:v>
      </x:c>
      <x:c r="H307" s="7" t="str">
        <x:v>経済産業省
NEDO
IPA DADC
デジタル庁・デジタル行財政改革会議</x:v>
      </x:c>
      <x:c r="I307" s="7" t="str"/>
      <x:c r="J307" s="7" t="str">
        <x:v>DIG-P16</x:v>
      </x:c>
      <x:c r="K307" s="18" t="str">
        <x:v>2024-06</x:v>
      </x:c>
      <x:c r="L307" s="7" t="str">
        <x:v>2024-06</x:v>
      </x:c>
      <x:c r="M307" s="18" t="n">
        <x:v>46326</x:v>
      </x:c>
      <x:c r="N307" s="7" t="str">
        <x:v>S204</x:v>
      </x:c>
      <x:c r="O307" s="7" t="str">
        <x:v>https://www.meti.go.jp/policy/mono_info_service/digital_architecture/keikaku.pdf</x:v>
      </x:c>
      <x:c r="P307" s="7" t="str">
        <x:v>同一期間内の厳密な前後関係は日付精度により未確定</x:v>
      </x:c>
      <x:c r="Q307" s="7" t="str">
        <x:v>EV-c3d967f08aa3</x:v>
      </x:c>
      <x:c r="R307" s="7" t="str">
        <x:v>DIG-P16</x:v>
      </x:c>
      <x:c r="S307" s="20" t="n">
        <x:v>2024</x:v>
      </x:c>
      <x:c r="T307" s="20" t="n">
        <x:v>6</x:v>
      </x:c>
      <x:c r="U307" s="7" t="str">
        <x:v>暦年・暦月</x:v>
      </x:c>
      <x:c r="V307" s="18"/>
      <x:c r="W307" s="7" t="str">
        <x:v>SRC-e6fc31a150</x:v>
      </x:c>
      <x:c r="X307" s="7" t="str"/>
      <x:c r="Y307" s="20" t="n">
        <x:v>300</x:v>
      </x:c>
      <x:c r="Z307" s="7" t="str"/>
      <x:c r="AA307" s="7" t="str"/>
      <x:c r="AB307" s="7" t="str"/>
    </x:row>
    <x:row r="308" ht="40.400001525878906" customHeight="1">
      <x:c r="A308" s="7" t="str">
        <x:v>2024年6月7日</x:v>
      </x:c>
      <x:c r="B308" s="7" t="str">
        <x:v>日</x:v>
      </x:c>
      <x:c r="C308" s="7" t="str">
        <x:v>ENV-C20</x:v>
      </x:c>
      <x:c r="D308" s="7" t="str">
        <x:v>EV昼充電へのナッジと小額報酬</x:v>
      </x:c>
      <x:c r="E308" s="7" t="str">
        <x:v>11月実証結果公表</x:v>
      </x:c>
      <x:c r="F308" s="7" t="str">
        <x:v>評価公表</x:v>
      </x:c>
      <x:c r="G308" s="7" t="str">
        <x:v>地域事例</x:v>
      </x:c>
      <x:c r="H308" s="7" t="str">
        <x:v>環境省</x:v>
      </x:c>
      <x:c r="I308" s="7" t="str">
        <x:v>全国の調査参加者・充電サービス顧客</x:v>
      </x:c>
      <x:c r="J308" s="7" t="str">
        <x:v>ENV-P11</x:v>
      </x:c>
      <x:c r="K308" s="18" t="n">
        <x:v>45450</x:v>
      </x:c>
      <x:c r="L308" s="7" t="str">
        <x:v>2024-06-07</x:v>
      </x:c>
      <x:c r="M308" s="18" t="n">
        <x:v>46326</x:v>
      </x:c>
      <x:c r="N308" s="7" t="str">
        <x:v>S167</x:v>
      </x:c>
      <x:c r="O308" s="7" t="str">
        <x:v>https://www.env.go.jp/press/press_03240.html</x:v>
      </x:c>
      <x:c r="P308" s="7" t="str"/>
      <x:c r="Q308" s="7" t="str">
        <x:v>EV-fbb69cbf37d2</x:v>
      </x:c>
      <x:c r="R308" s="7" t="str">
        <x:v>ENV-C20</x:v>
      </x:c>
      <x:c r="S308" s="20" t="n">
        <x:v>2024</x:v>
      </x:c>
      <x:c r="T308" s="20" t="n">
        <x:v>6</x:v>
      </x:c>
      <x:c r="U308" s="7" t="str">
        <x:v>暦年・暦月</x:v>
      </x:c>
      <x:c r="V308" s="18" t="n">
        <x:v>45450</x:v>
      </x:c>
      <x:c r="W308" s="7" t="str">
        <x:v>SRC-d57a84a0d3</x:v>
      </x:c>
      <x:c r="X308" s="7" t="str"/>
      <x:c r="Y308" s="20" t="n">
        <x:v>301</x:v>
      </x:c>
      <x:c r="Z308" s="7" t="str"/>
      <x:c r="AA308" s="7" t="str"/>
      <x:c r="AB308" s="7" t="str"/>
    </x:row>
    <x:row r="309" ht="54.599998474121094" customHeight="1">
      <x:c r="A309" s="7" t="str">
        <x:v>2024年6月21日</x:v>
      </x:c>
      <x:c r="B309" s="7" t="str">
        <x:v>日</x:v>
      </x:c>
      <x:c r="C309" s="7" t="str">
        <x:v>DIG-P10</x:v>
      </x:c>
      <x:c r="D309" s="7" t="str">
        <x:v>モビリティ・ロードマップ／モビリティWG</x:v>
      </x:c>
      <x:c r="E309" s="7" t="str">
        <x:v>モビリティ・ロードマップ2024公表。</x:v>
      </x:c>
      <x:c r="F309" s="7" t="str">
        <x:v>戦略公表</x:v>
      </x:c>
      <x:c r="G309" s="7" t="str">
        <x:v>政策制度</x:v>
      </x:c>
      <x:c r="H309" s="7" t="str">
        <x:v>デジタル庁
デジタル社会推進会議
関係府省</x:v>
      </x:c>
      <x:c r="I309" s="7" t="str"/>
      <x:c r="J309" s="7" t="str">
        <x:v>DIG-P10</x:v>
      </x:c>
      <x:c r="K309" s="18" t="n">
        <x:v>45464</x:v>
      </x:c>
      <x:c r="L309" s="7" t="str">
        <x:v>2024-06-21</x:v>
      </x:c>
      <x:c r="M309" s="18" t="n">
        <x:v>46326</x:v>
      </x:c>
      <x:c r="N309" s="7" t="str">
        <x:v>S130</x:v>
      </x:c>
      <x:c r="O309" s="7" t="str">
        <x:v>https://www.digital.go.jp/assets/contents/node/basic_page/field_ref_resources/2415ad00-6a79-4ebc-8fb1-51a47b1b0552/12f4e4f4/20240621_mobility-working-group_summary_01.pdf</x:v>
      </x:c>
      <x:c r="P309" s="7" t="str"/>
      <x:c r="Q309" s="7" t="str">
        <x:v>EV-fc8e055feb6e</x:v>
      </x:c>
      <x:c r="R309" s="7" t="str">
        <x:v>DIG-P10</x:v>
      </x:c>
      <x:c r="S309" s="20" t="n">
        <x:v>2024</x:v>
      </x:c>
      <x:c r="T309" s="20" t="n">
        <x:v>6</x:v>
      </x:c>
      <x:c r="U309" s="7" t="str">
        <x:v>暦年・暦月</x:v>
      </x:c>
      <x:c r="V309" s="18" t="n">
        <x:v>45464</x:v>
      </x:c>
      <x:c r="W309" s="7" t="str">
        <x:v>SRC-ec89da6096</x:v>
      </x:c>
      <x:c r="X309" s="7" t="str"/>
      <x:c r="Y309" s="20" t="n">
        <x:v>302</x:v>
      </x:c>
      <x:c r="Z309" s="7" t="str"/>
      <x:c r="AA309" s="7" t="str"/>
      <x:c r="AB309" s="7" t="str"/>
    </x:row>
    <x:row r="310" ht="68.80000305175781" customHeight="1">
      <x:c r="A310" s="7" t="str">
        <x:v>2024-07-08/2024-07-19</x:v>
      </x:c>
      <x:c r="B310" s="7" t="str">
        <x:v>期間</x:v>
      </x:c>
      <x:c r="C310" s="7" t="str">
        <x:v>DIG-C05</x:v>
      </x:c>
      <x:c r="D310" s="7" t="str">
        <x:v>糠平湖トンネル遠隔監視通信</x:v>
      </x:c>
      <x:c r="E310" s="7" t="str">
        <x:v>糠平湖トンネルで96走行。基地局配置と通信冗長化を検証。</x:v>
      </x:c>
      <x:c r="F310" s="7" t="str">
        <x:v>実証実施</x:v>
      </x:c>
      <x:c r="G310" s="7" t="str">
        <x:v>地域事例</x:v>
      </x:c>
      <x:c r="H310" s="7" t="str">
        <x:v>総務省
三菱総合研究所（事務局）
地域コンソーシアム
内閣府・総務省・デジタル庁等</x:v>
      </x:c>
      <x:c r="I310" s="7" t="str">
        <x:v>北海道上士幌町</x:v>
      </x:c>
      <x:c r="J310" s="7" t="str">
        <x:v>DIG-P15</x:v>
      </x:c>
      <x:c r="K310" s="18"/>
      <x:c r="L310" s="7" t="str">
        <x:v>2025-01報告／2025-07-14公開</x:v>
      </x:c>
      <x:c r="M310" s="18" t="n">
        <x:v>46326</x:v>
      </x:c>
      <x:c r="N310" s="7" t="str">
        <x:v>S030</x:v>
      </x:c>
      <x:c r="O310" s="7" t="str">
        <x:v>https://pubpjt.mri.co.jp/pjt_related/rcsad-info/eqghpc000000030i-att/20250714rcsad-info_houkoku_hokkaido_kamishihoro.pdf</x:v>
      </x:c>
      <x:c r="P310" s="7" t="str"/>
      <x:c r="Q310" s="7" t="str">
        <x:v>EV-961df30e42f2</x:v>
      </x:c>
      <x:c r="R310" s="7" t="str">
        <x:v>DIG-C05</x:v>
      </x:c>
      <x:c r="S310" s="20" t="n">
        <x:v>2024</x:v>
      </x:c>
      <x:c r="T310" s="20" t="n">
        <x:v>7</x:v>
      </x:c>
      <x:c r="U310" s="7" t="str">
        <x:v>暦年・暦月</x:v>
      </x:c>
      <x:c r="V310" s="18"/>
      <x:c r="W310" s="7" t="str">
        <x:v>SRC-8b71946062</x:v>
      </x:c>
      <x:c r="X310" s="7" t="str"/>
      <x:c r="Y310" s="20" t="n">
        <x:v>303</x:v>
      </x:c>
      <x:c r="Z310" s="7" t="str"/>
      <x:c r="AA310" s="7" t="str"/>
      <x:c r="AB310" s="7" t="str"/>
    </x:row>
    <x:row r="311" ht="40.400001525878906" customHeight="1">
      <x:c r="A311" s="7" t="str">
        <x:v>2024年8月</x:v>
      </x:c>
      <x:c r="B311" s="7" t="str">
        <x:v>月</x:v>
      </x:c>
      <x:c r="C311" s="7" t="str">
        <x:v>meti_oita</x:v>
      </x:c>
      <x:c r="D311" s="7" t="str">
        <x:v>大分MaaS・九州MaaSへの接続</x:v>
      </x:c>
      <x:c r="E311" s="7" t="str">
        <x:v>九州MaaSサービス開始</x:v>
      </x:c>
      <x:c r="F311" s="7" t="str">
        <x:v>実装</x:v>
      </x:c>
      <x:c r="G311" s="7" t="str">
        <x:v>地域事例</x:v>
      </x:c>
      <x:c r="H311" s="7" t="str">
        <x:v>経済産業省</x:v>
      </x:c>
      <x:c r="I311" s="7" t="str">
        <x:v>大分県大分市・別府市等</x:v>
      </x:c>
      <x:c r="J311" s="7" t="str">
        <x:v>smc</x:v>
      </x:c>
      <x:c r="K311" s="18" t="n">
        <x:v>45813</x:v>
      </x:c>
      <x:c r="L311" s="7" t="str">
        <x:v>2025-06-05</x:v>
      </x:c>
      <x:c r="M311" s="18" t="n">
        <x:v>46326</x:v>
      </x:c>
      <x:c r="N311" s="7" t="str">
        <x:v>S198</x:v>
      </x:c>
      <x:c r="O311" s="7" t="str">
        <x:v>https://www.kyushu.meti.go.jp/seisaku/chuken/oshirase/250605_1_3.pdf</x:v>
      </x:c>
      <x:c r="P311" s="7" t="str"/>
      <x:c r="Q311" s="7" t="str">
        <x:v>EV-d6b548b2bf1c</x:v>
      </x:c>
      <x:c r="R311" s="7" t="str">
        <x:v>meti_oita</x:v>
      </x:c>
      <x:c r="S311" s="20" t="n">
        <x:v>2024</x:v>
      </x:c>
      <x:c r="T311" s="20" t="n">
        <x:v>8</x:v>
      </x:c>
      <x:c r="U311" s="7" t="str">
        <x:v>暦年・暦月</x:v>
      </x:c>
      <x:c r="V311" s="18"/>
      <x:c r="W311" s="7" t="str">
        <x:v>SRC-0d038964d4</x:v>
      </x:c>
      <x:c r="X311" s="7" t="str"/>
      <x:c r="Y311" s="20" t="n">
        <x:v>304</x:v>
      </x:c>
      <x:c r="Z311" s="7" t="str"/>
      <x:c r="AA311" s="7" t="str"/>
      <x:c r="AB311" s="7" t="str"/>
    </x:row>
    <x:row r="312" ht="30" customHeight="1">
      <x:c r="A312" s="7" t="str">
        <x:v>2024年8月21日</x:v>
      </x:c>
      <x:c r="B312" s="7" t="str">
        <x:v>日</x:v>
      </x:c>
      <x:c r="C312" s="7" t="str">
        <x:v>mlit_sapporo</x:v>
      </x:c>
      <x:c r="D312" s="7" t="str">
        <x:v>清田区医療連携オンデマンド</x:v>
      </x:c>
      <x:c r="E312" s="7" t="str">
        <x:v>医療連携オンデマンド実証開始</x:v>
      </x:c>
      <x:c r="F312" s="7" t="str">
        <x:v>実証</x:v>
      </x:c>
      <x:c r="G312" s="7" t="str">
        <x:v>地域事例</x:v>
      </x:c>
      <x:c r="H312" s="7" t="str">
        <x:v>国土交通省</x:v>
      </x:c>
      <x:c r="I312" s="7" t="str">
        <x:v>北海道札幌市</x:v>
      </x:c>
      <x:c r="J312" s="7" t="str">
        <x:v>kyousou</x:v>
      </x:c>
      <x:c r="K312" s="18"/>
      <x:c r="L312" s="7" t="str">
        <x:v>FY2024</x:v>
      </x:c>
      <x:c r="M312" s="18" t="n">
        <x:v>46326</x:v>
      </x:c>
      <x:c r="N312" s="7" t="str">
        <x:v>S015</x:v>
      </x:c>
      <x:c r="O312" s="7" t="str">
        <x:v>https://kotsu-kuhaku.jp/adopter_6/kyousou/report/kyousou_all.pdf</x:v>
      </x:c>
      <x:c r="P312" s="7" t="str"/>
      <x:c r="Q312" s="7" t="str">
        <x:v>EV-dd3fd30c2c40</x:v>
      </x:c>
      <x:c r="R312" s="7" t="str">
        <x:v>mlit_sapporo</x:v>
      </x:c>
      <x:c r="S312" s="20" t="n">
        <x:v>2024</x:v>
      </x:c>
      <x:c r="T312" s="20" t="n">
        <x:v>8</x:v>
      </x:c>
      <x:c r="U312" s="7" t="str">
        <x:v>暦年・暦月</x:v>
      </x:c>
      <x:c r="V312" s="18" t="n">
        <x:v>45525</x:v>
      </x:c>
      <x:c r="W312" s="7" t="str">
        <x:v>SRC-39a2bad972</x:v>
      </x:c>
      <x:c r="X312" s="7" t="str"/>
      <x:c r="Y312" s="20" t="n">
        <x:v>305</x:v>
      </x:c>
      <x:c r="Z312" s="7" t="str"/>
      <x:c r="AA312" s="7" t="str"/>
      <x:c r="AB312" s="7" t="str"/>
    </x:row>
    <x:row r="313" ht="68.80000305175781" customHeight="1">
      <x:c r="A313" s="7" t="str">
        <x:v>2024年10月</x:v>
      </x:c>
      <x:c r="B313" s="7" t="str">
        <x:v>月</x:v>
      </x:c>
      <x:c r="C313" s="7" t="str">
        <x:v>DIG-C11</x:v>
      </x:c>
      <x:c r="D313" s="7" t="str">
        <x:v>チョイソコかりんちゃん</x:v>
      </x:c>
      <x:c r="E313" s="7" t="str">
        <x:v>テスト運行開始、10–11月は無料。</x:v>
      </x:c>
      <x:c r="F313" s="7" t="str">
        <x:v>実証開始</x:v>
      </x:c>
      <x:c r="G313" s="7" t="str">
        <x:v>地域事例</x:v>
      </x:c>
      <x:c r="H313" s="7" t="str">
        <x:v>内閣官房・内閣府地方創生
デジタル庁（基盤・実装支援）
地方自治体
内閣府・総務省・デジタル庁等</x:v>
      </x:c>
      <x:c r="I313" s="7" t="str">
        <x:v>長野県諏訪市</x:v>
      </x:c>
      <x:c r="J313" s="7" t="str">
        <x:v>DIG-P12</x:v>
      </x:c>
      <x:c r="K313" s="18"/>
      <x:c r="L313" s="7" t="str">
        <x:v>2025（R6検証）</x:v>
      </x:c>
      <x:c r="M313" s="18" t="n">
        <x:v>46326</x:v>
      </x:c>
      <x:c r="N313" s="7" t="str">
        <x:v>S113</x:v>
      </x:c>
      <x:c r="O313" s="7" t="str">
        <x:v>https://www.city.suwa.lg.jp/uploaded/attachment/48592.pdf</x:v>
      </x:c>
      <x:c r="P313" s="7" t="str"/>
      <x:c r="Q313" s="7" t="str">
        <x:v>EV-aed0f6a08de5</x:v>
      </x:c>
      <x:c r="R313" s="7" t="str">
        <x:v>DIG-C11</x:v>
      </x:c>
      <x:c r="S313" s="20" t="n">
        <x:v>2024</x:v>
      </x:c>
      <x:c r="T313" s="20" t="n">
        <x:v>10</x:v>
      </x:c>
      <x:c r="U313" s="7" t="str">
        <x:v>暦年・暦月</x:v>
      </x:c>
      <x:c r="V313" s="18"/>
      <x:c r="W313" s="7" t="str">
        <x:v>SRC-5788470ae3</x:v>
      </x:c>
      <x:c r="X313" s="7" t="str"/>
      <x:c r="Y313" s="20" t="n">
        <x:v>306</x:v>
      </x:c>
      <x:c r="Z313" s="7" t="str"/>
      <x:c r="AA313" s="7" t="str"/>
      <x:c r="AB313" s="7" t="str"/>
    </x:row>
    <x:row r="314" ht="40.400001525878906" customHeight="1">
      <x:c r="A314" s="7" t="str">
        <x:v>2024年10月</x:v>
      </x:c>
      <x:c r="B314" s="7" t="str">
        <x:v>月</x:v>
      </x:c>
      <x:c r="C314" s="7" t="str">
        <x:v>ENV-C06</x:v>
      </x:c>
      <x:c r="D314" s="7" t="str">
        <x:v>由布院ノルク</x:v>
      </x:c>
      <x:c r="E314" s="7" t="str">
        <x:v>FY2023評価を公表、B見直し実施</x:v>
      </x:c>
      <x:c r="F314" s="7" t="str">
        <x:v>継続見直し</x:v>
      </x:c>
      <x:c r="G314" s="7" t="str">
        <x:v>地域事例</x:v>
      </x:c>
      <x:c r="H314" s="7" t="str">
        <x:v>環境省</x:v>
      </x:c>
      <x:c r="I314" s="7" t="str">
        <x:v>大分県由布市</x:v>
      </x:c>
      <x:c r="J314" s="7" t="str">
        <x:v>ENV-P02</x:v>
      </x:c>
      <x:c r="K314" s="18" t="str">
        <x:v>2024-10</x:v>
      </x:c>
      <x:c r="L314" s="7" t="str">
        <x:v>2024-10</x:v>
      </x:c>
      <x:c r="M314" s="18" t="n">
        <x:v>46326</x:v>
      </x:c>
      <x:c r="N314" s="7" t="str">
        <x:v>S126</x:v>
      </x:c>
      <x:c r="O314" s="7" t="str">
        <x:v>https://www.city.yufu.oita.jp/uploads/files/2024/10/r5zimuzigyouhyoukasyo.pdf</x:v>
      </x:c>
      <x:c r="P314" s="7" t="str"/>
      <x:c r="Q314" s="7" t="str">
        <x:v>EV-bdd9d75026f1</x:v>
      </x:c>
      <x:c r="R314" s="7" t="str">
        <x:v>ENV-C06</x:v>
      </x:c>
      <x:c r="S314" s="20" t="n">
        <x:v>2024</x:v>
      </x:c>
      <x:c r="T314" s="20" t="n">
        <x:v>10</x:v>
      </x:c>
      <x:c r="U314" s="7" t="str">
        <x:v>暦年・暦月</x:v>
      </x:c>
      <x:c r="V314" s="18"/>
      <x:c r="W314" s="7" t="str">
        <x:v>SRC-e03de77c7c</x:v>
      </x:c>
      <x:c r="X314" s="7" t="str"/>
      <x:c r="Y314" s="20" t="n">
        <x:v>307</x:v>
      </x:c>
      <x:c r="Z314" s="7" t="str"/>
      <x:c r="AA314" s="7" t="str"/>
      <x:c r="AB314" s="7" t="str"/>
    </x:row>
    <x:row r="315" ht="40.400001525878906" customHeight="1">
      <x:c r="A315" s="7" t="str">
        <x:v>2024年10月</x:v>
      </x:c>
      <x:c r="B315" s="7" t="str">
        <x:v>月</x:v>
      </x:c>
      <x:c r="C315" s="7" t="str">
        <x:v>V-C11</x:v>
      </x:c>
      <x:c r="D315" s="7" t="str">
        <x:v>ふくいMaaS→はぴチケ</x:v>
      </x:c>
      <x:c r="E315" s="7" t="str">
        <x:v>年度開始から10月まで1147枚（2023年度末は125枚）</x:v>
      </x:c>
      <x:c r="F315" s="7" t="str">
        <x:v>販売実績</x:v>
      </x:c>
      <x:c r="G315" s="7" t="str">
        <x:v>地域事例</x:v>
      </x:c>
      <x:c r="H315" s="7" t="str">
        <x:v>横断検証（個別所管は資料参照）</x:v>
      </x:c>
      <x:c r="I315" s="7" t="str">
        <x:v>福井県福井市</x:v>
      </x:c>
      <x:c r="J315" s="7" t="str"/>
      <x:c r="K315" s="18" t="str">
        <x:v>2025-01</x:v>
      </x:c>
      <x:c r="L315" s="7" t="str">
        <x:v>2025-01</x:v>
      </x:c>
      <x:c r="M315" s="18" t="n">
        <x:v>46326</x:v>
      </x:c>
      <x:c r="N315" s="7" t="str">
        <x:v>S336</x:v>
      </x:c>
      <x:c r="O315" s="7" t="str">
        <x:v>https://wwwtb.mlit.go.jp/chubu/tsukuro/hyoka/pdf/jiko/R6/02_fukuishi.pdf</x:v>
      </x:c>
      <x:c r="P315" s="7" t="str"/>
      <x:c r="Q315" s="7" t="str">
        <x:v>EV-d03784276456</x:v>
      </x:c>
      <x:c r="R315" s="7" t="str">
        <x:v>V-C11</x:v>
      </x:c>
      <x:c r="S315" s="20" t="n">
        <x:v>2024</x:v>
      </x:c>
      <x:c r="T315" s="20" t="n">
        <x:v>10</x:v>
      </x:c>
      <x:c r="U315" s="7" t="str">
        <x:v>暦年・暦月</x:v>
      </x:c>
      <x:c r="V315" s="18"/>
      <x:c r="W315" s="7" t="str">
        <x:v>SRC-a5212126a0</x:v>
      </x:c>
      <x:c r="X315" s="7" t="str"/>
      <x:c r="Y315" s="20" t="n">
        <x:v>308</x:v>
      </x:c>
      <x:c r="Z315" s="7" t="str"/>
      <x:c r="AA315" s="7" t="str"/>
      <x:c r="AB315" s="7" t="str"/>
    </x:row>
    <x:row r="316" ht="40.400001525878906" customHeight="1">
      <x:c r="A316" s="7" t="str">
        <x:v>2024年10月</x:v>
      </x:c>
      <x:c r="B316" s="7" t="str">
        <x:v>月</x:v>
      </x:c>
      <x:c r="C316" s="7" t="str">
        <x:v>meti_yasu</x:v>
      </x:c>
      <x:c r="D316" s="7" t="str">
        <x:v>ゴイッショやす</x:v>
      </x:c>
      <x:c r="E316" s="7" t="str">
        <x:v>有償で正式運行開始</x:v>
      </x:c>
      <x:c r="F316" s="7" t="str">
        <x:v>実装</x:v>
      </x:c>
      <x:c r="G316" s="7" t="str">
        <x:v>地域事例</x:v>
      </x:c>
      <x:c r="H316" s="7" t="str">
        <x:v>経済産業省</x:v>
      </x:c>
      <x:c r="I316" s="7" t="str">
        <x:v>滋賀県野洲市</x:v>
      </x:c>
      <x:c r="J316" s="7" t="str">
        <x:v>smc</x:v>
      </x:c>
      <x:c r="K316" s="18" t="n">
        <x:v>45875</x:v>
      </x:c>
      <x:c r="L316" s="7" t="str">
        <x:v>2025-08-06</x:v>
      </x:c>
      <x:c r="M316" s="18" t="n">
        <x:v>46326</x:v>
      </x:c>
      <x:c r="N316" s="7" t="str">
        <x:v>S121</x:v>
      </x:c>
      <x:c r="O316" s="7" t="str">
        <x:v>https://www.city.yasu.lg.jp/material/files/group/68/shiryou2_20250806.pdf</x:v>
      </x:c>
      <x:c r="P316" s="7" t="str"/>
      <x:c r="Q316" s="7" t="str">
        <x:v>EV-f56cb23aac16</x:v>
      </x:c>
      <x:c r="R316" s="7" t="str">
        <x:v>meti_yasu</x:v>
      </x:c>
      <x:c r="S316" s="20" t="n">
        <x:v>2024</x:v>
      </x:c>
      <x:c r="T316" s="20" t="n">
        <x:v>10</x:v>
      </x:c>
      <x:c r="U316" s="7" t="str">
        <x:v>暦年・暦月</x:v>
      </x:c>
      <x:c r="V316" s="18"/>
      <x:c r="W316" s="7" t="str">
        <x:v>SRC-ee08c116a0</x:v>
      </x:c>
      <x:c r="X316" s="7" t="str"/>
      <x:c r="Y316" s="20" t="n">
        <x:v>309</x:v>
      </x:c>
      <x:c r="Z316" s="7" t="str"/>
      <x:c r="AA316" s="7" t="str"/>
      <x:c r="AB316" s="7" t="str"/>
    </x:row>
    <x:row r="317" ht="54.599998474121094" customHeight="1">
      <x:c r="A317" s="7" t="str">
        <x:v>2024年10月11日</x:v>
      </x:c>
      <x:c r="B317" s="7" t="str">
        <x:v>日</x:v>
      </x:c>
      <x:c r="C317" s="7" t="str">
        <x:v>DIG-P12</x:v>
      </x:c>
      <x:c r="D317" s="7" t="str">
        <x:v>デジタル田園都市国家構想と地方創生交付金の系列</x:v>
      </x:c>
      <x:c r="E317" s="7" t="str">
        <x:v>構想実現会議を発展させ新しい地方経済・生活環境創生本部を設置。</x:v>
      </x:c>
      <x:c r="F317" s="7" t="str">
        <x:v>体制再編</x:v>
      </x:c>
      <x:c r="G317" s="7" t="str">
        <x:v>政策制度</x:v>
      </x:c>
      <x:c r="H317" s="7" t="str">
        <x:v>内閣官房・内閣府地方創生
デジタル庁（基盤・実装支援）
地方自治体</x:v>
      </x:c>
      <x:c r="I317" s="7" t="str"/>
      <x:c r="J317" s="7" t="str">
        <x:v>DIG-P12</x:v>
      </x:c>
      <x:c r="K317" s="18" t="n">
        <x:v>46237</x:v>
      </x:c>
      <x:c r="L317" s="7" t="str">
        <x:v>2026-08-03</x:v>
      </x:c>
      <x:c r="M317" s="18" t="n">
        <x:v>46326</x:v>
      </x:c>
      <x:c r="N317" s="7" t="str">
        <x:v>S139</x:v>
      </x:c>
      <x:c r="O317" s="7" t="str">
        <x:v>https://www.digital.go.jp/policies/digital_garden_city_nation</x:v>
      </x:c>
      <x:c r="P317" s="7" t="str"/>
      <x:c r="Q317" s="7" t="str">
        <x:v>EV-8f0f37ea4d21</x:v>
      </x:c>
      <x:c r="R317" s="7" t="str">
        <x:v>DIG-P12</x:v>
      </x:c>
      <x:c r="S317" s="20" t="n">
        <x:v>2024</x:v>
      </x:c>
      <x:c r="T317" s="20" t="n">
        <x:v>10</x:v>
      </x:c>
      <x:c r="U317" s="7" t="str">
        <x:v>暦年・暦月</x:v>
      </x:c>
      <x:c r="V317" s="18" t="n">
        <x:v>45576</x:v>
      </x:c>
      <x:c r="W317" s="7" t="str">
        <x:v>SRC-56d3235213</x:v>
      </x:c>
      <x:c r="X317" s="7" t="str"/>
      <x:c r="Y317" s="20" t="n">
        <x:v>310</x:v>
      </x:c>
      <x:c r="Z317" s="7" t="str"/>
      <x:c r="AA317" s="7" t="str"/>
      <x:c r="AB317" s="7" t="str"/>
    </x:row>
    <x:row r="318" ht="68.80000305175781" customHeight="1">
      <x:c r="A318" s="7" t="str">
        <x:v>2024-10-26/2024-12-01</x:v>
      </x:c>
      <x:c r="B318" s="7" t="str">
        <x:v>期間</x:v>
      </x:c>
      <x:c r="C318" s="7" t="str">
        <x:v>DIG-C16</x:v>
      </x:c>
      <x:c r="D318" s="7" t="str">
        <x:v>養父市関宮：小さな拠点＋デマンド交通再編</x:v>
      </x:c>
      <x:c r="E318" s="7" t="str">
        <x:v>LINE予約、小さな拠点機能を組み合わせた約1か月実証。</x:v>
      </x:c>
      <x:c r="F318" s="7" t="str">
        <x:v>第2次実証</x:v>
      </x:c>
      <x:c r="G318" s="7" t="str">
        <x:v>地域事例</x:v>
      </x:c>
      <x:c r="H318" s="7" t="str">
        <x:v>内閣府CSTI
NEDO
経済産業省
内閣府・総務省・デジタル庁等</x:v>
      </x:c>
      <x:c r="I318" s="7" t="str">
        <x:v>兵庫県養父市関宮地域</x:v>
      </x:c>
      <x:c r="J318" s="7" t="str">
        <x:v>DIG-P04</x:v>
      </x:c>
      <x:c r="K318" s="18" t="str">
        <x:v>2026-03</x:v>
      </x:c>
      <x:c r="L318" s="7" t="str">
        <x:v>2026-03</x:v>
      </x:c>
      <x:c r="M318" s="18" t="n">
        <x:v>46326</x:v>
      </x:c>
      <x:c r="N318" s="7" t="str">
        <x:v>S045</x:v>
      </x:c>
      <x:c r="O318" s="7" t="str">
        <x:v>https://sip3.nedo.go.jp/smartmobility/upload/docs/7650a0e5fb857f859b853f1d600af61154d13e30.pdf</x:v>
      </x:c>
      <x:c r="P318" s="7" t="str"/>
      <x:c r="Q318" s="7" t="str">
        <x:v>EV-2978172ff2e5</x:v>
      </x:c>
      <x:c r="R318" s="7" t="str">
        <x:v>DIG-C16</x:v>
      </x:c>
      <x:c r="S318" s="20" t="n">
        <x:v>2024</x:v>
      </x:c>
      <x:c r="T318" s="20" t="n">
        <x:v>10</x:v>
      </x:c>
      <x:c r="U318" s="7" t="str">
        <x:v>暦年・暦月</x:v>
      </x:c>
      <x:c r="V318" s="18"/>
      <x:c r="W318" s="7" t="str">
        <x:v>SRC-f420e4751a</x:v>
      </x:c>
      <x:c r="X318" s="7" t="str"/>
      <x:c r="Y318" s="20" t="n">
        <x:v>311</x:v>
      </x:c>
      <x:c r="Z318" s="7" t="str"/>
      <x:c r="AA318" s="7" t="str"/>
      <x:c r="AB318" s="7" t="str"/>
    </x:row>
    <x:row r="319" ht="40.400001525878906" customHeight="1">
      <x:c r="A319" s="7" t="str">
        <x:v>2024年11月26日</x:v>
      </x:c>
      <x:c r="B319" s="7" t="str">
        <x:v>日</x:v>
      </x:c>
      <x:c r="C319" s="7" t="str">
        <x:v>meti_hitachi</x:v>
      </x:c>
      <x:c r="D319" s="7" t="str">
        <x:v>ひたちBRT L4</x:v>
      </x:c>
      <x:c r="E319" s="7" t="str">
        <x:v>走行環境条件付与</x:v>
      </x:c>
      <x:c r="F319" s="7" t="str">
        <x:v>認可</x:v>
      </x:c>
      <x:c r="G319" s="7" t="str">
        <x:v>地域事例</x:v>
      </x:c>
      <x:c r="H319" s="7" t="str">
        <x:v>経済産業省</x:v>
      </x:c>
      <x:c r="I319" s="7" t="str">
        <x:v>茨城県日立市</x:v>
      </x:c>
      <x:c r="J319" s="7" t="str">
        <x:v>lastmile
roadl4</x:v>
      </x:c>
      <x:c r="K319" s="18" t="n">
        <x:v>46086</x:v>
      </x:c>
      <x:c r="L319" s="7" t="str">
        <x:v>2026-03-05</x:v>
      </x:c>
      <x:c r="M319" s="18" t="n">
        <x:v>46326</x:v>
      </x:c>
      <x:c r="N319" s="7" t="str">
        <x:v>S310</x:v>
      </x:c>
      <x:c r="O319" s="7" t="str">
        <x:v>https://www.road-to-the-l4.go.jp/publication/pdf/02-3_theme02_20260305.pdf</x:v>
      </x:c>
      <x:c r="P319" s="7" t="str"/>
      <x:c r="Q319" s="7" t="str">
        <x:v>EV-57e069ebcb13</x:v>
      </x:c>
      <x:c r="R319" s="7" t="str">
        <x:v>meti_hitachi</x:v>
      </x:c>
      <x:c r="S319" s="20" t="n">
        <x:v>2024</x:v>
      </x:c>
      <x:c r="T319" s="20" t="n">
        <x:v>11</x:v>
      </x:c>
      <x:c r="U319" s="7" t="str">
        <x:v>暦年・暦月</x:v>
      </x:c>
      <x:c r="V319" s="18" t="n">
        <x:v>45622</x:v>
      </x:c>
      <x:c r="W319" s="7" t="str">
        <x:v>SRC-615a2d613e</x:v>
      </x:c>
      <x:c r="X319" s="7" t="str"/>
      <x:c r="Y319" s="20" t="n">
        <x:v>312</x:v>
      </x:c>
      <x:c r="Z319" s="7" t="str"/>
      <x:c r="AA319" s="7" t="str"/>
      <x:c r="AB319" s="7" t="str"/>
    </x:row>
    <x:row r="320" ht="40.400001525878906" customHeight="1">
      <x:c r="A320" s="7" t="str">
        <x:v>2024年12月18日</x:v>
      </x:c>
      <x:c r="B320" s="7" t="str">
        <x:v>日</x:v>
      </x:c>
      <x:c r="C320" s="7" t="str">
        <x:v>mlit_hitachiota</x:v>
      </x:c>
      <x:c r="D320" s="7" t="str">
        <x:v>道の駅ひたちおおた 自動運転・貨客混載</x:v>
      </x:c>
      <x:c r="E320" s="7" t="str">
        <x:v>支援を2027-03-31まで延長</x:v>
      </x:c>
      <x:c r="F320" s="7" t="str">
        <x:v>支援継続</x:v>
      </x:c>
      <x:c r="G320" s="7" t="str">
        <x:v>地域事例</x:v>
      </x:c>
      <x:c r="H320" s="7" t="str">
        <x:v>国土交通省関東地方整備局
国土交通省</x:v>
      </x:c>
      <x:c r="I320" s="7" t="str">
        <x:v>茨城県常陸太田市</x:v>
      </x:c>
      <x:c r="J320" s="7" t="str"/>
      <x:c r="K320" s="18" t="n">
        <x:v>45644</x:v>
      </x:c>
      <x:c r="L320" s="7" t="str">
        <x:v>2024-12-18</x:v>
      </x:c>
      <x:c r="M320" s="18" t="n">
        <x:v>46326</x:v>
      </x:c>
      <x:c r="N320" s="7" t="str">
        <x:v>S253</x:v>
      </x:c>
      <x:c r="O320" s="7" t="str">
        <x:v>https://www.mlit.go.jp/road/ITS/j-html/automatic-driving-service_r4.html</x:v>
      </x:c>
      <x:c r="P320" s="7" t="str"/>
      <x:c r="Q320" s="7" t="str">
        <x:v>EV-ad54f319e2af</x:v>
      </x:c>
      <x:c r="R320" s="7" t="str">
        <x:v>mlit_hitachiota</x:v>
      </x:c>
      <x:c r="S320" s="20" t="n">
        <x:v>2024</x:v>
      </x:c>
      <x:c r="T320" s="20" t="n">
        <x:v>12</x:v>
      </x:c>
      <x:c r="U320" s="7" t="str">
        <x:v>暦年・暦月</x:v>
      </x:c>
      <x:c r="V320" s="18" t="n">
        <x:v>45644</x:v>
      </x:c>
      <x:c r="W320" s="7" t="str">
        <x:v>SRC-e7c4fe10e7</x:v>
      </x:c>
      <x:c r="X320" s="7" t="str"/>
      <x:c r="Y320" s="20" t="n">
        <x:v>313</x:v>
      </x:c>
      <x:c r="Z320" s="7" t="str"/>
      <x:c r="AA320" s="7" t="str"/>
      <x:c r="AB320" s="7" t="str"/>
    </x:row>
    <x:row r="321" ht="68.80000305175781" customHeight="1">
      <x:c r="A321" s="7" t="str">
        <x:v>2025年1月</x:v>
      </x:c>
      <x:c r="B321" s="7" t="str">
        <x:v>月</x:v>
      </x:c>
      <x:c r="C321" s="7" t="str">
        <x:v>DIG-C05</x:v>
      </x:c>
      <x:c r="D321" s="7" t="str">
        <x:v>糠平湖トンネル遠隔監視通信</x:v>
      </x:c>
      <x:c r="E321" s="7" t="str">
        <x:v>報告書を作成。不感地帯で2SIM切替成功せず、固定化には電源等の費用課題。</x:v>
      </x:c>
      <x:c r="F321" s="7" t="str">
        <x:v>成果と限界報告</x:v>
      </x:c>
      <x:c r="G321" s="7" t="str">
        <x:v>地域事例</x:v>
      </x:c>
      <x:c r="H321" s="7" t="str">
        <x:v>総務省
三菱総合研究所（事務局）
地域コンソーシアム
内閣府・総務省・デジタル庁等</x:v>
      </x:c>
      <x:c r="I321" s="7" t="str">
        <x:v>北海道上士幌町</x:v>
      </x:c>
      <x:c r="J321" s="7" t="str">
        <x:v>DIG-P15</x:v>
      </x:c>
      <x:c r="K321" s="18"/>
      <x:c r="L321" s="7" t="str">
        <x:v>2025-01報告／2025-07-14公開</x:v>
      </x:c>
      <x:c r="M321" s="18" t="n">
        <x:v>46326</x:v>
      </x:c>
      <x:c r="N321" s="7" t="str">
        <x:v>S030</x:v>
      </x:c>
      <x:c r="O321" s="7" t="str">
        <x:v>https://pubpjt.mri.co.jp/pjt_related/rcsad-info/eqghpc000000030i-att/20250714rcsad-info_houkoku_hokkaido_kamishihoro.pdf</x:v>
      </x:c>
      <x:c r="P321" s="7" t="str"/>
      <x:c r="Q321" s="7" t="str">
        <x:v>EV-6ae9bbec007d</x:v>
      </x:c>
      <x:c r="R321" s="7" t="str">
        <x:v>DIG-C05</x:v>
      </x:c>
      <x:c r="S321" s="20" t="n">
        <x:v>2025</x:v>
      </x:c>
      <x:c r="T321" s="20" t="n">
        <x:v>1</x:v>
      </x:c>
      <x:c r="U321" s="7" t="str">
        <x:v>暦年・暦月</x:v>
      </x:c>
      <x:c r="V321" s="18"/>
      <x:c r="W321" s="7" t="str">
        <x:v>SRC-8b71946062</x:v>
      </x:c>
      <x:c r="X321" s="7" t="str"/>
      <x:c r="Y321" s="20" t="n">
        <x:v>314</x:v>
      </x:c>
      <x:c r="Z321" s="7" t="str"/>
      <x:c r="AA321" s="7" t="str"/>
      <x:c r="AB321" s="7" t="str"/>
    </x:row>
    <x:row r="322" ht="68.80000305175781" customHeight="1">
      <x:c r="A322" s="7" t="str">
        <x:v>2025年1月</x:v>
      </x:c>
      <x:c r="B322" s="7" t="str">
        <x:v>月</x:v>
      </x:c>
      <x:c r="C322" s="7" t="str">
        <x:v>DIG-C15</x:v>
      </x:c>
      <x:c r="D322" s="7" t="str">
        <x:v>西尾市のデジタチ・モビリティハブ・生活道路対策</x:v>
      </x:c>
      <x:c r="E322" s="7" t="str">
        <x:v>幡豆地区で高齢者タクシー助成のデジタル化「デジタチ」実証開始。</x:v>
      </x:c>
      <x:c r="F322" s="7" t="str">
        <x:v>実証開始</x:v>
      </x:c>
      <x:c r="G322" s="7" t="str">
        <x:v>地域事例</x:v>
      </x:c>
      <x:c r="H322" s="7" t="str">
        <x:v>内閣府CSTI
NEDO
経済産業省
内閣府・総務省・デジタル庁等</x:v>
      </x:c>
      <x:c r="I322" s="7" t="str">
        <x:v>愛知県西尾市吉良・幡豆地区</x:v>
      </x:c>
      <x:c r="J322" s="7" t="str">
        <x:v>DIG-P04</x:v>
      </x:c>
      <x:c r="K322" s="18"/>
      <x:c r="L322" s="7" t="str">
        <x:v>2026（FY2025報告）</x:v>
      </x:c>
      <x:c r="M322" s="18" t="n">
        <x:v>46326</x:v>
      </x:c>
      <x:c r="N322" s="7" t="str">
        <x:v>S047</x:v>
      </x:c>
      <x:c r="O322" s="7" t="str">
        <x:v>https://sip3.nedo.go.jp/smartmobility/upload/docs/fff151fc3abc36822d34b4009cbc88f664668456.pdf</x:v>
      </x:c>
      <x:c r="P322" s="7" t="str">
        <x:v>同一期間内の厳密な前後関係は日付精度により未確定</x:v>
      </x:c>
      <x:c r="Q322" s="7" t="str">
        <x:v>EV-74af9e50b4af</x:v>
      </x:c>
      <x:c r="R322" s="7" t="str">
        <x:v>DIG-C15</x:v>
      </x:c>
      <x:c r="S322" s="20" t="n">
        <x:v>2025</x:v>
      </x:c>
      <x:c r="T322" s="20" t="n">
        <x:v>1</x:v>
      </x:c>
      <x:c r="U322" s="7" t="str">
        <x:v>暦年・暦月</x:v>
      </x:c>
      <x:c r="V322" s="18"/>
      <x:c r="W322" s="7" t="str">
        <x:v>SRC-2441cac973</x:v>
      </x:c>
      <x:c r="X322" s="7" t="str"/>
      <x:c r="Y322" s="20" t="n">
        <x:v>315</x:v>
      </x:c>
      <x:c r="Z322" s="7" t="str"/>
      <x:c r="AA322" s="7" t="str"/>
      <x:c r="AB322" s="7" t="str"/>
    </x:row>
    <x:row r="323" ht="97.19999694824219" customHeight="1">
      <x:c r="A323" s="7" t="str">
        <x:v>2025年</x:v>
      </x:c>
      <x:c r="B323" s="7" t="str">
        <x:v>年</x:v>
      </x:c>
      <x:c r="C323" s="7" t="str">
        <x:v>DIG-C13</x:v>
      </x:c>
      <x:c r="D323" s="7" t="str">
        <x:v>先端技術を活用したモビリティ社会実現プロジェクト</x:v>
      </x:c>
      <x:c r="E323" s="7" t="str">
        <x:v>検証公表。自動走行には道路構造・交通環境・車両特性等の課題が残る。</x:v>
      </x:c>
      <x:c r="F323" s="7" t="str">
        <x:v>評価</x:v>
      </x:c>
      <x:c r="G323" s="7" t="str">
        <x:v>地域事例</x:v>
      </x:c>
      <x:c r="H323" s="7" t="str">
        <x:v>内閣官房・内閣府地方創生
デジタル庁（基盤・実装支援）
地方自治体
内閣府地方創生
関係府省
内閣府・総務省・デジタル庁等</x:v>
      </x:c>
      <x:c r="I323" s="7" t="str">
        <x:v>愛知県</x:v>
      </x:c>
      <x:c r="J323" s="7" t="str">
        <x:v>DIG-P12
DIG-P05</x:v>
      </x:c>
      <x:c r="K323" s="18" t="str">
        <x:v>2025</x:v>
      </x:c>
      <x:c r="L323" s="7" t="str">
        <x:v>2025</x:v>
      </x:c>
      <x:c r="M323" s="18" t="n">
        <x:v>46326</x:v>
      </x:c>
      <x:c r="N323" s="7" t="str">
        <x:v>S302</x:v>
      </x:c>
      <x:c r="O323" s="7" t="str">
        <x:v>https://www.pref.aichi.jp/uploaded/attachment/542336.pdf</x:v>
      </x:c>
      <x:c r="P323" s="7" t="str"/>
      <x:c r="Q323" s="7" t="str">
        <x:v>EV-7a4c0d9bb5ee</x:v>
      </x:c>
      <x:c r="R323" s="7" t="str">
        <x:v>DIG-C13</x:v>
      </x:c>
      <x:c r="S323" s="20" t="n">
        <x:v>2025</x:v>
      </x:c>
      <x:c r="T323" s="20" t="n">
        <x:v>1</x:v>
      </x:c>
      <x:c r="U323" s="7" t="str">
        <x:v>暦年・暦月</x:v>
      </x:c>
      <x:c r="V323" s="18"/>
      <x:c r="W323" s="7" t="str">
        <x:v>SRC-1e17f2bc65</x:v>
      </x:c>
      <x:c r="X323" s="7" t="str"/>
      <x:c r="Y323" s="20" t="n">
        <x:v>316</x:v>
      </x:c>
      <x:c r="Z323" s="7" t="str"/>
      <x:c r="AA323" s="7" t="str"/>
      <x:c r="AB323" s="7" t="str"/>
    </x:row>
    <x:row r="324" ht="40.400001525878906" customHeight="1">
      <x:c r="A324" s="7" t="str">
        <x:v>2025年1月</x:v>
      </x:c>
      <x:c r="B324" s="7" t="str">
        <x:v>月</x:v>
      </x:c>
      <x:c r="C324" s="7" t="str">
        <x:v>ENV-C11</x:v>
      </x:c>
      <x:c r="D324" s="7" t="str">
        <x:v>LRT沿線のEVバス・地域交通脱炭素化</x:v>
      </x:c>
      <x:c r="E324" s="7" t="str">
        <x:v>追加5台導入、NEDO財源</x:v>
      </x:c>
      <x:c r="F324" s="7" t="str">
        <x:v>拡張</x:v>
      </x:c>
      <x:c r="G324" s="7" t="str">
        <x:v>地域事例</x:v>
      </x:c>
      <x:c r="H324" s="7" t="str">
        <x:v>環境省</x:v>
      </x:c>
      <x:c r="I324" s="7" t="str">
        <x:v>栃木県宇都宮市・芳賀町</x:v>
      </x:c>
      <x:c r="J324" s="7" t="str"/>
      <x:c r="K324" s="18"/>
      <x:c r="L324" s="7" t="str">
        <x:v>2025年（2024年度実績）</x:v>
      </x:c>
      <x:c r="M324" s="18" t="n">
        <x:v>46326</x:v>
      </x:c>
      <x:c r="N324" s="7" t="str">
        <x:v>S025</x:v>
      </x:c>
      <x:c r="O324" s="7" t="str">
        <x:v>https://policies.env.go.jp/policy/roadmap/assets/preceding-region/kanto-R6-shinchoku-joukyou-hokokusyo-02.pdf#page=1</x:v>
      </x:c>
      <x:c r="P324" s="7" t="str"/>
      <x:c r="Q324" s="7" t="str">
        <x:v>EV-7cd77958a56f</x:v>
      </x:c>
      <x:c r="R324" s="7" t="str">
        <x:v>ENV-C11</x:v>
      </x:c>
      <x:c r="S324" s="20" t="n">
        <x:v>2025</x:v>
      </x:c>
      <x:c r="T324" s="20" t="n">
        <x:v>1</x:v>
      </x:c>
      <x:c r="U324" s="7" t="str">
        <x:v>暦年・暦月</x:v>
      </x:c>
      <x:c r="V324" s="18"/>
      <x:c r="W324" s="7" t="str">
        <x:v>SRC-8004a9d509</x:v>
      </x:c>
      <x:c r="X324" s="7" t="str"/>
      <x:c r="Y324" s="20" t="n">
        <x:v>317</x:v>
      </x:c>
      <x:c r="Z324" s="7" t="str"/>
      <x:c r="AA324" s="7" t="str"/>
      <x:c r="AB324" s="7" t="str"/>
    </x:row>
    <x:row r="325" ht="111.4000015258789" customHeight="1">
      <x:c r="A325" s="7" t="str">
        <x:v>2025年</x:v>
      </x:c>
      <x:c r="B325" s="7" t="str">
        <x:v>年</x:v>
      </x:c>
      <x:c r="C325" s="7" t="str"/>
      <x:c r="D325" s="7" t="str">
        <x:v>国土交通省の政策動向</x:v>
      </x:c>
      <x:c r="E325" s="7" t="str">
        <x:v>MaaS36（年度別現行一覧）、AV67、交通空白対策、COMmmmONS開始、トラック4事業。伊予補助不採択で休止、財務省調査が財源・移行計画の課題。</x:v>
      </x:c>
      <x:c r="F325" s="7" t="str"/>
      <x:c r="G325" s="7" t="str">
        <x:v>政策制度</x:v>
      </x:c>
      <x:c r="H325" s="7" t="str">
        <x:v>国土交通省</x:v>
      </x:c>
      <x:c r="I325" s="7" t="str"/>
      <x:c r="J325" s="7" t="str"/>
      <x:c r="K325" s="18"/>
      <x:c r="L325" s="7" t="str"/>
      <x:c r="M325" s="18" t="n">
        <x:v>46326</x:v>
      </x:c>
      <x:c r="N325" s="7" t="str">
        <x:v>S271
S234
S270
S248
S251
S070
S283</x:v>
      </x:c>
      <x:c r="O325" s="7" t="str">
        <x:v>https://www.mlit.go.jp/sogoseisaku/transport/sosei_transport_tk_000160.html</x:v>
      </x:c>
      <x:c r="P325" s="7" t="str"/>
      <x:c r="Q325" s="7" t="str">
        <x:v>EV-a07870e3ea0f</x:v>
      </x:c>
      <x:c r="R325" s="7" t="str">
        <x:v>mlit</x:v>
      </x:c>
      <x:c r="S325" s="20" t="n">
        <x:v>2025</x:v>
      </x:c>
      <x:c r="T325" s="20" t="n">
        <x:v>1</x:v>
      </x:c>
      <x:c r="U325" s="7" t="str">
        <x:v>暦年・暦月</x:v>
      </x:c>
      <x:c r="V325" s="18"/>
      <x:c r="W325" s="7" t="str">
        <x:v>SRC-dc31021747
SRC-a460687a1d
SRC-88e1a6bc03
SRC-e3caafad86
SRC-f9fb175705
SRC-62e072869c
SRC-8dca6bdaca</x:v>
      </x:c>
      <x:c r="X325" s="7" t="str">
        <x:v>https://www.mlit.go.jp/sogoseisaku/transport/kyousou/
https://www.mlit.go.jp/report/press/sogo12_hh_000511.html
https://www.mlit.go.jp/policy/shingikai/content/001976226.pdf
https://www.mof.go.jp/policy/budget/topics/budget_execution_audit/fy2025/sy0706/23.pdf
https://www.mlit.go.jp/report/press/tokatsu01_hh_000949.html
https://www.city.iyo.lg.jp/kikakuseisaku/jidouunten-kyushi.html</x:v>
      </x:c>
      <x:c r="Y325" s="20" t="n">
        <x:v>318</x:v>
      </x:c>
      <x:c r="Z325" s="7" t="str"/>
      <x:c r="AA325" s="7" t="str"/>
      <x:c r="AB325" s="7" t="str"/>
    </x:row>
    <x:row r="326" ht="30" customHeight="1">
      <x:c r="A326" s="7" t="str">
        <x:v>2025年</x:v>
      </x:c>
      <x:c r="B326" s="7" t="str">
        <x:v>評価年度</x:v>
      </x:c>
      <x:c r="C326" s="7" t="str">
        <x:v>V-C09</x:v>
      </x:c>
      <x:c r="D326" s="7" t="str">
        <x:v>のるイコつやま</x:v>
      </x:c>
      <x:c r="E326" s="7" t="str">
        <x:v>R7評価で実証から本格運行への移行と運行形態修正を確認</x:v>
      </x:c>
      <x:c r="F326" s="7" t="str">
        <x:v>本格運行評価</x:v>
      </x:c>
      <x:c r="G326" s="7" t="str">
        <x:v>地域事例</x:v>
      </x:c>
      <x:c r="H326" s="7" t="str">
        <x:v>横断検証（個別所管は資料参照）</x:v>
      </x:c>
      <x:c r="I326" s="7" t="str">
        <x:v>岡山県津山市</x:v>
      </x:c>
      <x:c r="J326" s="7" t="str"/>
      <x:c r="K326" s="18"/>
      <x:c r="L326" s="7" t="str"/>
      <x:c r="M326" s="18" t="n">
        <x:v>46326</x:v>
      </x:c>
      <x:c r="N326" s="7" t="str">
        <x:v>S337</x:v>
      </x:c>
      <x:c r="O326" s="7" t="str">
        <x:v>https://wwwtb.mlit.go.jp/chugoku/content/000370186.pdf</x:v>
      </x:c>
      <x:c r="P326" s="7" t="str"/>
      <x:c r="Q326" s="7" t="str">
        <x:v>EV-a81c2d6e62fe</x:v>
      </x:c>
      <x:c r="R326" s="7" t="str">
        <x:v>V-C09</x:v>
      </x:c>
      <x:c r="S326" s="20" t="n">
        <x:v>2025</x:v>
      </x:c>
      <x:c r="T326" s="20" t="n">
        <x:v>1</x:v>
      </x:c>
      <x:c r="U326" s="7" t="str">
        <x:v>年度・年度末</x:v>
      </x:c>
      <x:c r="V326" s="18"/>
      <x:c r="W326" s="7" t="str">
        <x:v>SRC-478732da21</x:v>
      </x:c>
      <x:c r="X326" s="7" t="str"/>
      <x:c r="Y326" s="20" t="n">
        <x:v>319</x:v>
      </x:c>
      <x:c r="Z326" s="7" t="str"/>
      <x:c r="AA326" s="7" t="str"/>
      <x:c r="AB326" s="7" t="str"/>
    </x:row>
    <x:row r="327" ht="54.599998474121094" customHeight="1">
      <x:c r="A327" s="7" t="str">
        <x:v>2024年度末</x:v>
      </x:c>
      <x:c r="B327" s="7" t="str">
        <x:v>年度</x:v>
      </x:c>
      <x:c r="C327" s="7" t="str">
        <x:v>DIG-P04</x:v>
      </x:c>
      <x:c r="D327" s="7" t="str">
        <x:v>SIP第3期 スマートモビリティプラットフォームの構築</x:v>
      </x:c>
      <x:c r="E327" s="7" t="str">
        <x:v>テーマ15（BOLDLY等）が終了。理由は確認資料だけでは確定不可。</x:v>
      </x:c>
      <x:c r="F327" s="7" t="str">
        <x:v>テーマ終了 理由未確認</x:v>
      </x:c>
      <x:c r="G327" s="7" t="str">
        <x:v>政策制度</x:v>
      </x:c>
      <x:c r="H327" s="7" t="str">
        <x:v>内閣府CSTI
NEDO
経済産業省</x:v>
      </x:c>
      <x:c r="I327" s="7" t="str"/>
      <x:c r="J327" s="7" t="str">
        <x:v>DIG-P04</x:v>
      </x:c>
      <x:c r="K327" s="18"/>
      <x:c r="L327" s="7" t="str">
        <x:v>2024年度末成果／2026-10-31閲覧</x:v>
      </x:c>
      <x:c r="M327" s="18" t="n">
        <x:v>46326</x:v>
      </x:c>
      <x:c r="N327" s="7" t="str">
        <x:v>S042</x:v>
      </x:c>
      <x:c r="O327" s="7" t="str">
        <x:v>https://sip3.nedo.go.jp/smartmobility/theme/15/index.html</x:v>
      </x:c>
      <x:c r="P327" s="7" t="str"/>
      <x:c r="Q327" s="7" t="str">
        <x:v>EV-abcc69355b49</x:v>
      </x:c>
      <x:c r="R327" s="7" t="str">
        <x:v>DIG-P04</x:v>
      </x:c>
      <x:c r="S327" s="20" t="n">
        <x:v>2025</x:v>
      </x:c>
      <x:c r="T327" s="20" t="n">
        <x:v>1</x:v>
      </x:c>
      <x:c r="U327" s="7" t="str">
        <x:v>年度・年度末</x:v>
      </x:c>
      <x:c r="V327" s="18"/>
      <x:c r="W327" s="7" t="str">
        <x:v>SRC-23d9646bd1</x:v>
      </x:c>
      <x:c r="X327" s="7" t="str"/>
      <x:c r="Y327" s="20" t="n">
        <x:v>320</x:v>
      </x:c>
      <x:c r="Z327" s="7" t="str"/>
      <x:c r="AA327" s="7" t="str"/>
      <x:c r="AB327" s="7" t="str"/>
    </x:row>
    <x:row r="328" ht="30" customHeight="1">
      <x:c r="A328" s="7" t="str">
        <x:v>2025年</x:v>
      </x:c>
      <x:c r="B328" s="7" t="str">
        <x:v>公表年</x:v>
      </x:c>
      <x:c r="C328" s="7" t="str">
        <x:v>V-C05</x:v>
      </x:c>
      <x:c r="D328" s="7" t="str">
        <x:v>のるーと塩尻</x:v>
      </x:c>
      <x:c r="E328" s="7" t="str">
        <x:v>片丘では定時便を残し地域の合算利用約2倍。待ち時間増への対処も評価</x:v>
      </x:c>
      <x:c r="F328" s="7" t="str">
        <x:v>評価・改良</x:v>
      </x:c>
      <x:c r="G328" s="7" t="str">
        <x:v>地域事例</x:v>
      </x:c>
      <x:c r="H328" s="7" t="str">
        <x:v>横断検証（個別所管は資料参照）</x:v>
      </x:c>
      <x:c r="I328" s="7" t="str">
        <x:v>長野県塩尻市</x:v>
      </x:c>
      <x:c r="J328" s="7" t="str"/>
      <x:c r="K328" s="18"/>
      <x:c r="L328" s="7" t="str"/>
      <x:c r="M328" s="18" t="n">
        <x:v>46326</x:v>
      </x:c>
      <x:c r="N328" s="7" t="str">
        <x:v>S109</x:v>
      </x:c>
      <x:c r="O328" s="7" t="str">
        <x:v>https://www.city.shiojiri.lg.jp/uploaded/attachment/39971.pdf</x:v>
      </x:c>
      <x:c r="P328" s="7" t="str"/>
      <x:c r="Q328" s="7" t="str">
        <x:v>EV-c9e04ce19179</x:v>
      </x:c>
      <x:c r="R328" s="7" t="str">
        <x:v>V-C05</x:v>
      </x:c>
      <x:c r="S328" s="20" t="n">
        <x:v>2025</x:v>
      </x:c>
      <x:c r="T328" s="20" t="n">
        <x:v>1</x:v>
      </x:c>
      <x:c r="U328" s="7" t="str">
        <x:v>公表時点</x:v>
      </x:c>
      <x:c r="V328" s="18"/>
      <x:c r="W328" s="7" t="str">
        <x:v>SRC-a3aa12f026</x:v>
      </x:c>
      <x:c r="X328" s="7" t="str"/>
      <x:c r="Y328" s="20" t="n">
        <x:v>321</x:v>
      </x:c>
      <x:c r="Z328" s="7" t="str"/>
      <x:c r="AA328" s="7" t="str"/>
      <x:c r="AB328" s="7" t="str"/>
    </x:row>
    <x:row r="329" ht="139.8000030517578" customHeight="1">
      <x:c r="A329" s="7" t="str">
        <x:v>2025年1月</x:v>
      </x:c>
      <x:c r="B329" s="7" t="str">
        <x:v>資料参照月</x:v>
      </x:c>
      <x:c r="C329" s="7" t="str">
        <x:v>mlit_kamikoani</x:v>
      </x:c>
      <x:c r="D329" s="7" t="str">
        <x:v>道の駅かみこあに 自動運転サービス</x:v>
      </x:c>
      <x:c r="E329" s="7" t="str">
        <x:v>調査資料が参照した運行時点。L2有人、月約10利用、電気整備年約80万円＋人件費</x:v>
      </x:c>
      <x:c r="F329" s="7" t="str">
        <x:v>運営調査時点</x:v>
      </x:c>
      <x:c r="G329" s="7" t="str">
        <x:v>地域事例</x:v>
      </x:c>
      <x:c r="H329" s="7" t="str">
        <x:v>国土交通省・SIP
国土交通省道路局
内閣府SIP2
内閣府CSTI
NEDO
関係省庁
国土交通省
内閣府・総務省・デジタル庁等
横断検証（個別所管は資料参照）</x:v>
      </x:c>
      <x:c r="I329" s="7" t="str">
        <x:v>秋田県上小阿仁村</x:v>
      </x:c>
      <x:c r="J329" s="7" t="str"/>
      <x:c r="K329" s="18" t="n">
        <x:v>45818</x:v>
      </x:c>
      <x:c r="L329" s="7" t="str">
        <x:v>2025-06-10</x:v>
      </x:c>
      <x:c r="M329" s="18" t="n">
        <x:v>46326</x:v>
      </x:c>
      <x:c r="N329" s="7" t="str">
        <x:v>S028</x:v>
      </x:c>
      <x:c r="O329" s="7" t="str">
        <x:v>https://pubpjt.mri.co.jp/pjt_related/rcsad-info/eqghpc000000030i-att/20250610rcsad-info_case2.pdf</x:v>
      </x:c>
      <x:c r="P329" s="7" t="str"/>
      <x:c r="Q329" s="7" t="str">
        <x:v>EV-f6f489a4c770</x:v>
      </x:c>
      <x:c r="R329" s="7" t="str">
        <x:v>V-C14</x:v>
      </x:c>
      <x:c r="S329" s="20" t="n">
        <x:v>2025</x:v>
      </x:c>
      <x:c r="T329" s="20" t="n">
        <x:v>1</x:v>
      </x:c>
      <x:c r="U329" s="7" t="str">
        <x:v>暦年・暦月</x:v>
      </x:c>
      <x:c r="V329" s="18"/>
      <x:c r="W329" s="7" t="str">
        <x:v>SRC-0f43c3a686</x:v>
      </x:c>
      <x:c r="X329" s="7" t="str"/>
      <x:c r="Y329" s="20" t="n">
        <x:v>322</x:v>
      </x:c>
      <x:c r="Z329" s="7" t="str"/>
      <x:c r="AA329" s="7" t="str"/>
      <x:c r="AB329" s="7" t="str"/>
    </x:row>
    <x:row r="330" ht="40.400001525878906" customHeight="1">
      <x:c r="A330" s="7" t="str">
        <x:v>2024年度末</x:v>
      </x:c>
      <x:c r="B330" s="7" t="str">
        <x:v>年度末</x:v>
      </x:c>
      <x:c r="C330" s="7" t="str">
        <x:v>meti_ina</x:v>
      </x:c>
      <x:c r="D330" s="7" t="str">
        <x:v>ゆうあいマーケット</x:v>
      </x:c>
      <x:c r="E330" s="7" t="str">
        <x:v>年度末にドローン商品配送を終了</x:v>
      </x:c>
      <x:c r="F330" s="7" t="str">
        <x:v>技術要素終了</x:v>
      </x:c>
      <x:c r="G330" s="7" t="str">
        <x:v>地域事例</x:v>
      </x:c>
      <x:c r="H330" s="7" t="str">
        <x:v>経済産業省</x:v>
      </x:c>
      <x:c r="I330" s="7" t="str">
        <x:v>長野県伊那市</x:v>
      </x:c>
      <x:c r="J330" s="7" t="str">
        <x:v>dress</x:v>
      </x:c>
      <x:c r="K330" s="18"/>
      <x:c r="L330" s="7" t="str"/>
      <x:c r="M330" s="18" t="n">
        <x:v>46326</x:v>
      </x:c>
      <x:c r="N330" s="7" t="str">
        <x:v>S183</x:v>
      </x:c>
      <x:c r="O330" s="7" t="str">
        <x:v>https://www.inacity.jp/shisei/inashiseisakusesaku/shinsangyougijutu/yuuaimarket/index.html</x:v>
      </x:c>
      <x:c r="P330" s="7" t="str"/>
      <x:c r="Q330" s="7" t="str">
        <x:v>EV-fb3842cb24dd</x:v>
      </x:c>
      <x:c r="R330" s="7" t="str">
        <x:v>meti_ina</x:v>
      </x:c>
      <x:c r="S330" s="20" t="n">
        <x:v>2025</x:v>
      </x:c>
      <x:c r="T330" s="20" t="n">
        <x:v>1</x:v>
      </x:c>
      <x:c r="U330" s="7" t="str">
        <x:v>年度・年度末</x:v>
      </x:c>
      <x:c r="V330" s="18"/>
      <x:c r="W330" s="7" t="str">
        <x:v>SRC-c94d4689db</x:v>
      </x:c>
      <x:c r="X330" s="7" t="str"/>
      <x:c r="Y330" s="20" t="n">
        <x:v>323</x:v>
      </x:c>
      <x:c r="Z330" s="7" t="str"/>
      <x:c r="AA330" s="7" t="str"/>
      <x:c r="AB330" s="7" t="str"/>
    </x:row>
    <x:row r="331" ht="68.80000305175781" customHeight="1">
      <x:c r="A331" s="7" t="str">
        <x:v>2025年</x:v>
      </x:c>
      <x:c r="B331" s="7" t="str">
        <x:v>年</x:v>
      </x:c>
      <x:c r="C331" s="7" t="str">
        <x:v>DIG-C11</x:v>
      </x:c>
      <x:c r="D331" s="7" t="str">
        <x:v>チョイソコかりんちゃん</x:v>
      </x:c>
      <x:c r="E331" s="7" t="str">
        <x:v>R6評価はKPI未達・内容改善。交付金は初年度のみ、事業計画はR6–R8。</x:v>
      </x:c>
      <x:c r="F331" s="7" t="str">
        <x:v>評価と改善判断</x:v>
      </x:c>
      <x:c r="G331" s="7" t="str">
        <x:v>地域事例</x:v>
      </x:c>
      <x:c r="H331" s="7" t="str">
        <x:v>内閣官房・内閣府地方創生
デジタル庁（基盤・実装支援）
地方自治体
内閣府・総務省・デジタル庁等</x:v>
      </x:c>
      <x:c r="I331" s="7" t="str">
        <x:v>長野県諏訪市</x:v>
      </x:c>
      <x:c r="J331" s="7" t="str">
        <x:v>DIG-P12</x:v>
      </x:c>
      <x:c r="K331" s="18"/>
      <x:c r="L331" s="7" t="str">
        <x:v>2025（R6検証）</x:v>
      </x:c>
      <x:c r="M331" s="18" t="n">
        <x:v>46326</x:v>
      </x:c>
      <x:c r="N331" s="7" t="str">
        <x:v>S113</x:v>
      </x:c>
      <x:c r="O331" s="7" t="str">
        <x:v>https://www.city.suwa.lg.jp/uploaded/attachment/48592.pdf</x:v>
      </x:c>
      <x:c r="P331" s="7" t="str"/>
      <x:c r="Q331" s="7" t="str">
        <x:v>EV-fe4708548b16</x:v>
      </x:c>
      <x:c r="R331" s="7" t="str">
        <x:v>DIG-C11</x:v>
      </x:c>
      <x:c r="S331" s="20" t="n">
        <x:v>2025</x:v>
      </x:c>
      <x:c r="T331" s="20" t="n">
        <x:v>1</x:v>
      </x:c>
      <x:c r="U331" s="7" t="str">
        <x:v>暦年・暦月</x:v>
      </x:c>
      <x:c r="V331" s="18"/>
      <x:c r="W331" s="7" t="str">
        <x:v>SRC-5788470ae3</x:v>
      </x:c>
      <x:c r="X331" s="7" t="str"/>
      <x:c r="Y331" s="20" t="n">
        <x:v>324</x:v>
      </x:c>
      <x:c r="Z331" s="7" t="str"/>
      <x:c r="AA331" s="7" t="str"/>
      <x:c r="AB331" s="7" t="str"/>
    </x:row>
    <x:row r="332" ht="40.400001525878906" customHeight="1">
      <x:c r="A332" s="7" t="str">
        <x:v>2025年1月23日</x:v>
      </x:c>
      <x:c r="B332" s="7" t="str">
        <x:v>日</x:v>
      </x:c>
      <x:c r="C332" s="7" t="str">
        <x:v>meti_hitachi</x:v>
      </x:c>
      <x:c r="D332" s="7" t="str">
        <x:v>ひたちBRT L4</x:v>
      </x:c>
      <x:c r="E332" s="7" t="str">
        <x:v>特定自動運行許可</x:v>
      </x:c>
      <x:c r="F332" s="7" t="str">
        <x:v>認可</x:v>
      </x:c>
      <x:c r="G332" s="7" t="str">
        <x:v>地域事例</x:v>
      </x:c>
      <x:c r="H332" s="7" t="str">
        <x:v>経済産業省</x:v>
      </x:c>
      <x:c r="I332" s="7" t="str">
        <x:v>茨城県日立市</x:v>
      </x:c>
      <x:c r="J332" s="7" t="str">
        <x:v>lastmile
roadl4</x:v>
      </x:c>
      <x:c r="K332" s="18" t="n">
        <x:v>46086</x:v>
      </x:c>
      <x:c r="L332" s="7" t="str">
        <x:v>2026-03-05</x:v>
      </x:c>
      <x:c r="M332" s="18" t="n">
        <x:v>46326</x:v>
      </x:c>
      <x:c r="N332" s="7" t="str">
        <x:v>S310</x:v>
      </x:c>
      <x:c r="O332" s="7" t="str">
        <x:v>https://www.road-to-the-l4.go.jp/publication/pdf/02-3_theme02_20260305.pdf</x:v>
      </x:c>
      <x:c r="P332" s="7" t="str"/>
      <x:c r="Q332" s="7" t="str">
        <x:v>EV-5396c90f98a7</x:v>
      </x:c>
      <x:c r="R332" s="7" t="str">
        <x:v>meti_hitachi</x:v>
      </x:c>
      <x:c r="S332" s="20" t="n">
        <x:v>2025</x:v>
      </x:c>
      <x:c r="T332" s="20" t="n">
        <x:v>1</x:v>
      </x:c>
      <x:c r="U332" s="7" t="str">
        <x:v>暦年・暦月</x:v>
      </x:c>
      <x:c r="V332" s="18" t="n">
        <x:v>45680</x:v>
      </x:c>
      <x:c r="W332" s="7" t="str">
        <x:v>SRC-615a2d613e</x:v>
      </x:c>
      <x:c r="X332" s="7" t="str"/>
      <x:c r="Y332" s="20" t="n">
        <x:v>325</x:v>
      </x:c>
      <x:c r="Z332" s="7" t="str"/>
      <x:c r="AA332" s="7" t="str"/>
      <x:c r="AB332" s="7" t="str"/>
    </x:row>
    <x:row r="333" ht="30" customHeight="1">
      <x:c r="A333" s="7" t="str">
        <x:v>2025年1月29日</x:v>
      </x:c>
      <x:c r="B333" s="7" t="str">
        <x:v>日</x:v>
      </x:c>
      <x:c r="C333" s="7" t="str">
        <x:v>ENV-C01</x:v>
      </x:c>
      <x:c r="D333" s="7" t="str">
        <x:v>南花台クルクル</x:v>
      </x:c>
      <x:c r="E333" s="7" t="str">
        <x:v>地域主体運行の市案内</x:v>
      </x:c>
      <x:c r="F333" s="7" t="str">
        <x:v>継続確認</x:v>
      </x:c>
      <x:c r="G333" s="7" t="str">
        <x:v>地域事例</x:v>
      </x:c>
      <x:c r="H333" s="7" t="str">
        <x:v>環境省</x:v>
      </x:c>
      <x:c r="I333" s="7" t="str">
        <x:v>大阪府河内長野市</x:v>
      </x:c>
      <x:c r="J333" s="7" t="str">
        <x:v>ENV-P02</x:v>
      </x:c>
      <x:c r="K333" s="18" t="n">
        <x:v>45686</x:v>
      </x:c>
      <x:c r="L333" s="7" t="str">
        <x:v>2025-01-29</x:v>
      </x:c>
      <x:c r="M333" s="18" t="n">
        <x:v>46326</x:v>
      </x:c>
      <x:c r="N333" s="7" t="str">
        <x:v>S072</x:v>
      </x:c>
      <x:c r="O333" s="7" t="str">
        <x:v>https://www.city.kawachinagano.lg.jp/soshiki/2/106773.html</x:v>
      </x:c>
      <x:c r="P333" s="7" t="str">
        <x:v>同一期間内の厳密な前後関係は日付精度により未確定</x:v>
      </x:c>
      <x:c r="Q333" s="7" t="str">
        <x:v>EV-d752034cc8c9</x:v>
      </x:c>
      <x:c r="R333" s="7" t="str">
        <x:v>ENV-C01</x:v>
      </x:c>
      <x:c r="S333" s="20" t="n">
        <x:v>2025</x:v>
      </x:c>
      <x:c r="T333" s="20" t="n">
        <x:v>1</x:v>
      </x:c>
      <x:c r="U333" s="7" t="str">
        <x:v>暦年・暦月</x:v>
      </x:c>
      <x:c r="V333" s="18" t="n">
        <x:v>45686</x:v>
      </x:c>
      <x:c r="W333" s="7" t="str">
        <x:v>SRC-ef2ccc06a7</x:v>
      </x:c>
      <x:c r="X333" s="7" t="str"/>
      <x:c r="Y333" s="20" t="n">
        <x:v>326</x:v>
      </x:c>
      <x:c r="Z333" s="7" t="str"/>
      <x:c r="AA333" s="7" t="str"/>
      <x:c r="AB333" s="7" t="str"/>
    </x:row>
    <x:row r="334" ht="30" customHeight="1">
      <x:c r="A334" s="7" t="str">
        <x:v>2025年1月31日</x:v>
      </x:c>
      <x:c r="B334" s="7" t="str">
        <x:v>日</x:v>
      </x:c>
      <x:c r="C334" s="7" t="str">
        <x:v>mlit_sapporo</x:v>
      </x:c>
      <x:c r="D334" s="7" t="str">
        <x:v>清田区医療連携オンデマンド</x:v>
      </x:c>
      <x:c r="E334" s="7" t="str">
        <x:v>実験終期・構想修正を成果報告</x:v>
      </x:c>
      <x:c r="F334" s="7" t="str">
        <x:v>設計変更</x:v>
      </x:c>
      <x:c r="G334" s="7" t="str">
        <x:v>地域事例</x:v>
      </x:c>
      <x:c r="H334" s="7" t="str">
        <x:v>国土交通省</x:v>
      </x:c>
      <x:c r="I334" s="7" t="str">
        <x:v>北海道札幌市</x:v>
      </x:c>
      <x:c r="J334" s="7" t="str">
        <x:v>kyousou</x:v>
      </x:c>
      <x:c r="K334" s="18"/>
      <x:c r="L334" s="7" t="str">
        <x:v>FY2024</x:v>
      </x:c>
      <x:c r="M334" s="18" t="n">
        <x:v>46326</x:v>
      </x:c>
      <x:c r="N334" s="7" t="str">
        <x:v>S015</x:v>
      </x:c>
      <x:c r="O334" s="7" t="str">
        <x:v>https://kotsu-kuhaku.jp/adopter_6/kyousou/report/kyousou_all.pdf</x:v>
      </x:c>
      <x:c r="P334" s="7" t="str"/>
      <x:c r="Q334" s="7" t="str">
        <x:v>EV-0cd98291be5f</x:v>
      </x:c>
      <x:c r="R334" s="7" t="str">
        <x:v>mlit_sapporo</x:v>
      </x:c>
      <x:c r="S334" s="20" t="n">
        <x:v>2025</x:v>
      </x:c>
      <x:c r="T334" s="20" t="n">
        <x:v>1</x:v>
      </x:c>
      <x:c r="U334" s="7" t="str">
        <x:v>暦年・暦月</x:v>
      </x:c>
      <x:c r="V334" s="18" t="n">
        <x:v>45688</x:v>
      </x:c>
      <x:c r="W334" s="7" t="str">
        <x:v>SRC-39a2bad972</x:v>
      </x:c>
      <x:c r="X334" s="7" t="str"/>
      <x:c r="Y334" s="20" t="n">
        <x:v>327</x:v>
      </x:c>
      <x:c r="Z334" s="7" t="str"/>
      <x:c r="AA334" s="7" t="str"/>
      <x:c r="AB334" s="7" t="str"/>
    </x:row>
    <x:row r="335" ht="40.400001525878906" customHeight="1">
      <x:c r="A335" s="7" t="str">
        <x:v>2025年2月3日</x:v>
      </x:c>
      <x:c r="B335" s="7" t="str">
        <x:v>日</x:v>
      </x:c>
      <x:c r="C335" s="7" t="str">
        <x:v>meti_hitachi</x:v>
      </x:c>
      <x:c r="D335" s="7" t="str">
        <x:v>ひたちBRT L4</x:v>
      </x:c>
      <x:c r="E335" s="7" t="str">
        <x:v>乗務員乗車型L4営業開始</x:v>
      </x:c>
      <x:c r="F335" s="7" t="str">
        <x:v>実装</x:v>
      </x:c>
      <x:c r="G335" s="7" t="str">
        <x:v>地域事例</x:v>
      </x:c>
      <x:c r="H335" s="7" t="str">
        <x:v>経済産業省</x:v>
      </x:c>
      <x:c r="I335" s="7" t="str">
        <x:v>茨城県日立市</x:v>
      </x:c>
      <x:c r="J335" s="7" t="str">
        <x:v>lastmile
roadl4</x:v>
      </x:c>
      <x:c r="K335" s="18" t="n">
        <x:v>46086</x:v>
      </x:c>
      <x:c r="L335" s="7" t="str">
        <x:v>2026-03-05</x:v>
      </x:c>
      <x:c r="M335" s="18" t="n">
        <x:v>46326</x:v>
      </x:c>
      <x:c r="N335" s="7" t="str">
        <x:v>S310</x:v>
      </x:c>
      <x:c r="O335" s="7" t="str">
        <x:v>https://www.road-to-the-l4.go.jp/publication/pdf/02-3_theme02_20260305.pdf</x:v>
      </x:c>
      <x:c r="P335" s="7" t="str"/>
      <x:c r="Q335" s="7" t="str">
        <x:v>EV-0e8355c57627</x:v>
      </x:c>
      <x:c r="R335" s="7" t="str">
        <x:v>meti_hitachi</x:v>
      </x:c>
      <x:c r="S335" s="20" t="n">
        <x:v>2025</x:v>
      </x:c>
      <x:c r="T335" s="20" t="n">
        <x:v>2</x:v>
      </x:c>
      <x:c r="U335" s="7" t="str">
        <x:v>暦年・暦月</x:v>
      </x:c>
      <x:c r="V335" s="18" t="n">
        <x:v>45691</x:v>
      </x:c>
      <x:c r="W335" s="7" t="str">
        <x:v>SRC-615a2d613e</x:v>
      </x:c>
      <x:c r="X335" s="7" t="str"/>
      <x:c r="Y335" s="20" t="n">
        <x:v>328</x:v>
      </x:c>
      <x:c r="Z335" s="7" t="str"/>
      <x:c r="AA335" s="7" t="str"/>
      <x:c r="AB335" s="7" t="str"/>
    </x:row>
    <x:row r="336" ht="40.400001525878906" customHeight="1">
      <x:c r="A336" s="7" t="str">
        <x:v>2025年2月10日</x:v>
      </x:c>
      <x:c r="B336" s="7" t="str">
        <x:v>日</x:v>
      </x:c>
      <x:c r="C336" s="7" t="str">
        <x:v>meti_goto</x:v>
      </x:c>
      <x:c r="D336" s="7" t="str">
        <x:v>五島列島の医薬品ドローン</x:v>
      </x:c>
      <x:c r="E336" s="7" t="str">
        <x:v>L4処方薬配送実証を公表</x:v>
      </x:c>
      <x:c r="F336" s="7" t="str">
        <x:v>実証</x:v>
      </x:c>
      <x:c r="G336" s="7" t="str">
        <x:v>地域事例</x:v>
      </x:c>
      <x:c r="H336" s="7" t="str">
        <x:v>経済産業省</x:v>
      </x:c>
      <x:c r="I336" s="7" t="str">
        <x:v>長崎県五島市・新上五島町等</x:v>
      </x:c>
      <x:c r="J336" s="7" t="str">
        <x:v>dress
reamo</x:v>
      </x:c>
      <x:c r="K336" s="18" t="n">
        <x:v>45698</x:v>
      </x:c>
      <x:c r="L336" s="7" t="str">
        <x:v>2025-02-10</x:v>
      </x:c>
      <x:c r="M336" s="18" t="n">
        <x:v>46326</x:v>
      </x:c>
      <x:c r="N336" s="7" t="str">
        <x:v>S326</x:v>
      </x:c>
      <x:c r="O336" s="7" t="str">
        <x:v>https://www.toyota-tsusho.com/english/press/detail/250210_006531.html</x:v>
      </x:c>
      <x:c r="P336" s="7" t="str"/>
      <x:c r="Q336" s="7" t="str">
        <x:v>EV-d061692e3578</x:v>
      </x:c>
      <x:c r="R336" s="7" t="str">
        <x:v>meti_goto</x:v>
      </x:c>
      <x:c r="S336" s="20" t="n">
        <x:v>2025</x:v>
      </x:c>
      <x:c r="T336" s="20" t="n">
        <x:v>2</x:v>
      </x:c>
      <x:c r="U336" s="7" t="str">
        <x:v>暦年・暦月</x:v>
      </x:c>
      <x:c r="V336" s="18" t="n">
        <x:v>45698</x:v>
      </x:c>
      <x:c r="W336" s="7" t="str">
        <x:v>SRC-097fc2e83c</x:v>
      </x:c>
      <x:c r="X336" s="7" t="str"/>
      <x:c r="Y336" s="20" t="n">
        <x:v>329</x:v>
      </x:c>
      <x:c r="Z336" s="7" t="str"/>
      <x:c r="AA336" s="7" t="str"/>
      <x:c r="AB336" s="7" t="str"/>
    </x:row>
    <x:row r="337" ht="68.80000305175781" customHeight="1">
      <x:c r="A337" s="7" t="str">
        <x:v>2025-02/2025-03</x:v>
      </x:c>
      <x:c r="B337" s="7" t="str">
        <x:v>期間</x:v>
      </x:c>
      <x:c r="C337" s="7" t="str">
        <x:v>DIG-C11</x:v>
      </x:c>
      <x:c r="D337" s="7" t="str">
        <x:v>チョイソコかりんちゃん</x:v>
      </x:c>
      <x:c r="E337" s="7" t="str">
        <x:v>週末運行テストへ拡張。出前講座も実施。</x:v>
      </x:c>
      <x:c r="F337" s="7" t="str">
        <x:v>実証変更</x:v>
      </x:c>
      <x:c r="G337" s="7" t="str">
        <x:v>地域事例</x:v>
      </x:c>
      <x:c r="H337" s="7" t="str">
        <x:v>内閣官房・内閣府地方創生
デジタル庁（基盤・実装支援）
地方自治体
内閣府・総務省・デジタル庁等</x:v>
      </x:c>
      <x:c r="I337" s="7" t="str">
        <x:v>長野県諏訪市</x:v>
      </x:c>
      <x:c r="J337" s="7" t="str">
        <x:v>DIG-P12</x:v>
      </x:c>
      <x:c r="K337" s="18"/>
      <x:c r="L337" s="7" t="str">
        <x:v>2025（R6検証）</x:v>
      </x:c>
      <x:c r="M337" s="18" t="n">
        <x:v>46326</x:v>
      </x:c>
      <x:c r="N337" s="7" t="str">
        <x:v>S113</x:v>
      </x:c>
      <x:c r="O337" s="7" t="str">
        <x:v>https://www.city.suwa.lg.jp/uploaded/attachment/48592.pdf</x:v>
      </x:c>
      <x:c r="P337" s="7" t="str">
        <x:v>同一期間内の厳密な前後関係は日付精度により未確定</x:v>
      </x:c>
      <x:c r="Q337" s="7" t="str">
        <x:v>EV-1d336c9ae8a7</x:v>
      </x:c>
      <x:c r="R337" s="7" t="str">
        <x:v>DIG-C11</x:v>
      </x:c>
      <x:c r="S337" s="20" t="n">
        <x:v>2025</x:v>
      </x:c>
      <x:c r="T337" s="20" t="n">
        <x:v>2</x:v>
      </x:c>
      <x:c r="U337" s="7" t="str">
        <x:v>暦年・暦月</x:v>
      </x:c>
      <x:c r="V337" s="18"/>
      <x:c r="W337" s="7" t="str">
        <x:v>SRC-5788470ae3</x:v>
      </x:c>
      <x:c r="X337" s="7" t="str"/>
      <x:c r="Y337" s="20" t="n">
        <x:v>330</x:v>
      </x:c>
      <x:c r="Z337" s="7" t="str"/>
      <x:c r="AA337" s="7" t="str"/>
      <x:c r="AB337" s="7" t="str"/>
    </x:row>
    <x:row r="338" ht="40.400001525878906" customHeight="1">
      <x:c r="A338" s="7" t="str">
        <x:v>2025年3月</x:v>
      </x:c>
      <x:c r="B338" s="7" t="str">
        <x:v>月</x:v>
      </x:c>
      <x:c r="C338" s="7" t="str">
        <x:v>meti_fukushima_gi</x:v>
      </x:c>
      <x:c r="D338" s="7" t="str">
        <x:v>福島商用電動車・エネルギーマネジメント</x:v>
      </x:c>
      <x:c r="E338" s="7" t="str">
        <x:v>利益条件・中止条件を事業戦略で更新</x:v>
      </x:c>
      <x:c r="F338" s="7" t="str">
        <x:v>事業性検討</x:v>
      </x:c>
      <x:c r="G338" s="7" t="str">
        <x:v>地域事例</x:v>
      </x:c>
      <x:c r="H338" s="7" t="str">
        <x:v>経済産業省</x:v>
      </x:c>
      <x:c r="I338" s="7" t="str">
        <x:v>福島県</x:v>
      </x:c>
      <x:c r="J338" s="7" t="str">
        <x:v>smartgi</x:v>
      </x:c>
      <x:c r="K338" s="18" t="str">
        <x:v>2025-03</x:v>
      </x:c>
      <x:c r="L338" s="7" t="str">
        <x:v>2025-03</x:v>
      </x:c>
      <x:c r="M338" s="18" t="n">
        <x:v>46326</x:v>
      </x:c>
      <x:c r="N338" s="7" t="str">
        <x:v>S011</x:v>
      </x:c>
      <x:c r="O338" s="7" t="str">
        <x:v>https://green-innovation.nedo.go.jp/resources/pdf/smart-mobility-society/item-002/vision-fukushima-koutu-003.pdf</x:v>
      </x:c>
      <x:c r="P338" s="7" t="str"/>
      <x:c r="Q338" s="7" t="str">
        <x:v>EV-0712eb9be837</x:v>
      </x:c>
      <x:c r="R338" s="7" t="str">
        <x:v>meti_fukushima_gi</x:v>
      </x:c>
      <x:c r="S338" s="20" t="n">
        <x:v>2025</x:v>
      </x:c>
      <x:c r="T338" s="20" t="n">
        <x:v>3</x:v>
      </x:c>
      <x:c r="U338" s="7" t="str">
        <x:v>暦年・暦月</x:v>
      </x:c>
      <x:c r="V338" s="18"/>
      <x:c r="W338" s="7" t="str">
        <x:v>SRC-c71fcdb9bd</x:v>
      </x:c>
      <x:c r="X338" s="7" t="str"/>
      <x:c r="Y338" s="20" t="n">
        <x:v>331</x:v>
      </x:c>
      <x:c r="Z338" s="7" t="str"/>
      <x:c r="AA338" s="7" t="str"/>
      <x:c r="AB338" s="7" t="str"/>
    </x:row>
    <x:row r="339" ht="68.80000305175781" customHeight="1">
      <x:c r="A339" s="7" t="str">
        <x:v>2025年3月</x:v>
      </x:c>
      <x:c r="B339" s="7" t="str">
        <x:v>月</x:v>
      </x:c>
      <x:c r="C339" s="7" t="str">
        <x:v>DIG-C15</x:v>
      </x:c>
      <x:c r="D339" s="7" t="str">
        <x:v>西尾市のデジタチ・モビリティハブ・生活道路対策</x:v>
      </x:c>
      <x:c r="E339" s="7" t="str">
        <x:v>東幡豆駅のEVモビリティハブ設備整備。</x:v>
      </x:c>
      <x:c r="F339" s="7" t="str">
        <x:v>拠点設置</x:v>
      </x:c>
      <x:c r="G339" s="7" t="str">
        <x:v>地域事例</x:v>
      </x:c>
      <x:c r="H339" s="7" t="str">
        <x:v>内閣府CSTI
NEDO
経済産業省
内閣府・総務省・デジタル庁等</x:v>
      </x:c>
      <x:c r="I339" s="7" t="str">
        <x:v>愛知県西尾市吉良・幡豆地区</x:v>
      </x:c>
      <x:c r="J339" s="7" t="str">
        <x:v>DIG-P04</x:v>
      </x:c>
      <x:c r="K339" s="18"/>
      <x:c r="L339" s="7" t="str">
        <x:v>2026（FY2025報告）</x:v>
      </x:c>
      <x:c r="M339" s="18" t="n">
        <x:v>46326</x:v>
      </x:c>
      <x:c r="N339" s="7" t="str">
        <x:v>S047</x:v>
      </x:c>
      <x:c r="O339" s="7" t="str">
        <x:v>https://sip3.nedo.go.jp/smartmobility/upload/docs/fff151fc3abc36822d34b4009cbc88f664668456.pdf</x:v>
      </x:c>
      <x:c r="P339" s="7" t="str"/>
      <x:c r="Q339" s="7" t="str">
        <x:v>EV-676d80a759fd</x:v>
      </x:c>
      <x:c r="R339" s="7" t="str">
        <x:v>DIG-C15</x:v>
      </x:c>
      <x:c r="S339" s="20" t="n">
        <x:v>2025</x:v>
      </x:c>
      <x:c r="T339" s="20" t="n">
        <x:v>3</x:v>
      </x:c>
      <x:c r="U339" s="7" t="str">
        <x:v>暦年・暦月</x:v>
      </x:c>
      <x:c r="V339" s="18"/>
      <x:c r="W339" s="7" t="str">
        <x:v>SRC-2441cac973</x:v>
      </x:c>
      <x:c r="X339" s="7" t="str"/>
      <x:c r="Y339" s="20" t="n">
        <x:v>332</x:v>
      </x:c>
      <x:c r="Z339" s="7" t="str"/>
      <x:c r="AA339" s="7" t="str"/>
      <x:c r="AB339" s="7" t="str"/>
    </x:row>
    <x:row r="340" ht="40.400001525878906" customHeight="1">
      <x:c r="A340" s="7" t="str">
        <x:v>2025年3月</x:v>
      </x:c>
      <x:c r="B340" s="7" t="str">
        <x:v>月</x:v>
      </x:c>
      <x:c r="C340" s="7" t="str">
        <x:v>ENV-C11</x:v>
      </x:c>
      <x:c r="D340" s="7" t="str">
        <x:v>LRT沿線のEVバス・地域交通脱炭素化</x:v>
      </x:c>
      <x:c r="E340" s="7" t="str">
        <x:v>FY2024進捗、地域内交通EV目標10に対し2</x:v>
      </x:c>
      <x:c r="F340" s="7" t="str">
        <x:v>進捗評価</x:v>
      </x:c>
      <x:c r="G340" s="7" t="str">
        <x:v>地域事例</x:v>
      </x:c>
      <x:c r="H340" s="7" t="str">
        <x:v>環境省</x:v>
      </x:c>
      <x:c r="I340" s="7" t="str">
        <x:v>栃木県宇都宮市・芳賀町</x:v>
      </x:c>
      <x:c r="J340" s="7" t="str"/>
      <x:c r="K340" s="18"/>
      <x:c r="L340" s="7" t="str">
        <x:v>2025年（2024年度実績）</x:v>
      </x:c>
      <x:c r="M340" s="18" t="n">
        <x:v>46326</x:v>
      </x:c>
      <x:c r="N340" s="7" t="str">
        <x:v>S025</x:v>
      </x:c>
      <x:c r="O340" s="7" t="str">
        <x:v>https://policies.env.go.jp/policy/roadmap/assets/preceding-region/kanto-R6-shinchoku-joukyou-hokokusyo-02.pdf#page=1</x:v>
      </x:c>
      <x:c r="P340" s="7" t="str"/>
      <x:c r="Q340" s="7" t="str">
        <x:v>EV-e59d6311147c</x:v>
      </x:c>
      <x:c r="R340" s="7" t="str">
        <x:v>ENV-C11</x:v>
      </x:c>
      <x:c r="S340" s="20" t="n">
        <x:v>2025</x:v>
      </x:c>
      <x:c r="T340" s="20" t="n">
        <x:v>3</x:v>
      </x:c>
      <x:c r="U340" s="7" t="str">
        <x:v>暦年・暦月</x:v>
      </x:c>
      <x:c r="V340" s="18"/>
      <x:c r="W340" s="7" t="str">
        <x:v>SRC-8004a9d509</x:v>
      </x:c>
      <x:c r="X340" s="7" t="str"/>
      <x:c r="Y340" s="20" t="n">
        <x:v>333</x:v>
      </x:c>
      <x:c r="Z340" s="7" t="str"/>
      <x:c r="AA340" s="7" t="str"/>
      <x:c r="AB340" s="7" t="str"/>
    </x:row>
    <x:row r="341" ht="40.400001525878906" customHeight="1">
      <x:c r="A341" s="7" t="str">
        <x:v>2025年3月10日</x:v>
      </x:c>
      <x:c r="B341" s="7" t="str">
        <x:v>日</x:v>
      </x:c>
      <x:c r="C341" s="7" t="str">
        <x:v>meti_kosai</x:v>
      </x:c>
      <x:c r="D341" s="7" t="str">
        <x:v>企業シャトルBaaS</x:v>
      </x:c>
      <x:c r="E341" s="7" t="str">
        <x:v>手続き簡素化をDX資料で報告</x:v>
      </x:c>
      <x:c r="F341" s="7" t="str">
        <x:v>結果公表</x:v>
      </x:c>
      <x:c r="G341" s="7" t="str">
        <x:v>地域事例</x:v>
      </x:c>
      <x:c r="H341" s="7" t="str">
        <x:v>経済産業省</x:v>
      </x:c>
      <x:c r="I341" s="7" t="str">
        <x:v>静岡県湖西市</x:v>
      </x:c>
      <x:c r="J341" s="7" t="str">
        <x:v>smc</x:v>
      </x:c>
      <x:c r="K341" s="18" t="n">
        <x:v>45726</x:v>
      </x:c>
      <x:c r="L341" s="7" t="str">
        <x:v>2025-03-10</x:v>
      </x:c>
      <x:c r="M341" s="18" t="n">
        <x:v>46326</x:v>
      </x:c>
      <x:c r="N341" s="7" t="str">
        <x:v>S080</x:v>
      </x:c>
      <x:c r="O341" s="7" t="str">
        <x:v>https://www.city.kosai.shizuoka.jp/material/files/group/9/20250310_007_dx.pdf</x:v>
      </x:c>
      <x:c r="P341" s="7" t="str">
        <x:v>同一期間内の厳密な前後関係は日付精度により未確定</x:v>
      </x:c>
      <x:c r="Q341" s="7" t="str">
        <x:v>EV-c69bb4297bc9</x:v>
      </x:c>
      <x:c r="R341" s="7" t="str">
        <x:v>meti_kosai</x:v>
      </x:c>
      <x:c r="S341" s="20" t="n">
        <x:v>2025</x:v>
      </x:c>
      <x:c r="T341" s="20" t="n">
        <x:v>3</x:v>
      </x:c>
      <x:c r="U341" s="7" t="str">
        <x:v>暦年・暦月</x:v>
      </x:c>
      <x:c r="V341" s="18" t="n">
        <x:v>45726</x:v>
      </x:c>
      <x:c r="W341" s="7" t="str">
        <x:v>SRC-f906f5adbb</x:v>
      </x:c>
      <x:c r="X341" s="7" t="str"/>
      <x:c r="Y341" s="20" t="n">
        <x:v>334</x:v>
      </x:c>
      <x:c r="Z341" s="7" t="str"/>
      <x:c r="AA341" s="7" t="str"/>
      <x:c r="AB341" s="7" t="str"/>
    </x:row>
    <x:row r="342" ht="40.400001525878906" customHeight="1">
      <x:c r="A342" s="7" t="str">
        <x:v>2025年3月31日</x:v>
      </x:c>
      <x:c r="B342" s="7" t="str">
        <x:v>日</x:v>
      </x:c>
      <x:c r="C342" s="7" t="str">
        <x:v>meti_mitoyo</x:v>
      </x:c>
      <x:c r="D342" s="7" t="str">
        <x:v>ゴイッショみとよ共同送迎</x:v>
      </x:c>
      <x:c r="E342" s="7" t="str">
        <x:v>MiLAISへ事業移管（社協報告上の日付）</x:v>
      </x:c>
      <x:c r="F342" s="7" t="str">
        <x:v>体制変更</x:v>
      </x:c>
      <x:c r="G342" s="7" t="str">
        <x:v>地域事例</x:v>
      </x:c>
      <x:c r="H342" s="7" t="str">
        <x:v>経済産業省</x:v>
      </x:c>
      <x:c r="I342" s="7" t="str">
        <x:v>香川県三豊市</x:v>
      </x:c>
      <x:c r="J342" s="7" t="str">
        <x:v>smc</x:v>
      </x:c>
      <x:c r="K342" s="18"/>
      <x:c r="L342" s="7" t="str"/>
      <x:c r="M342" s="18" t="n">
        <x:v>46326</x:v>
      </x:c>
      <x:c r="N342" s="7" t="str">
        <x:v>S219</x:v>
      </x:c>
      <x:c r="O342" s="7" t="str">
        <x:v>https://www.mitoyoshakyo.or.jp/archives/014/202506/R6%E5%B9%B4%E5%BA%A6%E4%BA%8B%E6%A5%AD%E5%A0%B1%E5%91%8A%E6%9B%B8.pdf</x:v>
      </x:c>
      <x:c r="P342" s="7" t="str">
        <x:v>同一期間内の厳密な前後関係は日付精度により未確定</x:v>
      </x:c>
      <x:c r="Q342" s="7" t="str">
        <x:v>EV-d4e3a252b36a</x:v>
      </x:c>
      <x:c r="R342" s="7" t="str">
        <x:v>meti_mitoyo</x:v>
      </x:c>
      <x:c r="S342" s="20" t="n">
        <x:v>2025</x:v>
      </x:c>
      <x:c r="T342" s="20" t="n">
        <x:v>3</x:v>
      </x:c>
      <x:c r="U342" s="7" t="str">
        <x:v>暦年・暦月</x:v>
      </x:c>
      <x:c r="V342" s="18" t="n">
        <x:v>45747</x:v>
      </x:c>
      <x:c r="W342" s="7" t="str">
        <x:v>SRC-70a43f8cc7</x:v>
      </x:c>
      <x:c r="X342" s="7" t="str"/>
      <x:c r="Y342" s="20" t="n">
        <x:v>335</x:v>
      </x:c>
      <x:c r="Z342" s="7" t="str"/>
      <x:c r="AA342" s="7" t="str"/>
      <x:c r="AB342" s="7" t="str"/>
    </x:row>
    <x:row r="343" ht="68.80000305175781" customHeight="1">
      <x:c r="A343" s="7" t="str">
        <x:v>2025年度</x:v>
      </x:c>
      <x:c r="B343" s="7" t="str">
        <x:v>年度</x:v>
      </x:c>
      <x:c r="C343" s="7" t="str">
        <x:v>DIG-C07</x:v>
      </x:c>
      <x:c r="D343" s="7" t="str">
        <x:v>松江市の遠隔監視・信号／路車協調</x:v>
      </x:c>
      <x:c r="E343" s="7" t="str">
        <x:v>12日間の試乗会で遠隔監視・信号/路車協調を検証。</x:v>
      </x:c>
      <x:c r="F343" s="7" t="str">
        <x:v>実証実施</x:v>
      </x:c>
      <x:c r="G343" s="7" t="str">
        <x:v>地域事例</x:v>
      </x:c>
      <x:c r="H343" s="7" t="str">
        <x:v>総務省
三菱総合研究所（事務局）
地域コンソーシアム
内閣府・総務省・デジタル庁等</x:v>
      </x:c>
      <x:c r="I343" s="7" t="str">
        <x:v>島根県松江市</x:v>
      </x:c>
      <x:c r="J343" s="7" t="str">
        <x:v>DIG-P15</x:v>
      </x:c>
      <x:c r="K343" s="18"/>
      <x:c r="L343" s="7" t="str">
        <x:v>2026-06-03公開</x:v>
      </x:c>
      <x:c r="M343" s="18" t="n">
        <x:v>46326</x:v>
      </x:c>
      <x:c r="N343" s="7" t="str">
        <x:v>S034</x:v>
      </x:c>
      <x:c r="O343" s="7" t="str">
        <x:v>https://pubpjt.mri.co.jp/pjt_related/rcsad-info/eqghpc000000030i-att/20260603rcsad-info_houkoku_shimane_matsue.pdf</x:v>
      </x:c>
      <x:c r="P343" s="7" t="str"/>
      <x:c r="Q343" s="7" t="str">
        <x:v>EV-20e46e5a1ddd</x:v>
      </x:c>
      <x:c r="R343" s="7" t="str">
        <x:v>DIG-C07</x:v>
      </x:c>
      <x:c r="S343" s="20" t="n">
        <x:v>2025</x:v>
      </x:c>
      <x:c r="T343" s="20" t="n">
        <x:v>4</x:v>
      </x:c>
      <x:c r="U343" s="7" t="str">
        <x:v>年度・年度末</x:v>
      </x:c>
      <x:c r="V343" s="18"/>
      <x:c r="W343" s="7" t="str">
        <x:v>SRC-67094370f5</x:v>
      </x:c>
      <x:c r="X343" s="7" t="str"/>
      <x:c r="Y343" s="20" t="n">
        <x:v>336</x:v>
      </x:c>
      <x:c r="Z343" s="7" t="str"/>
      <x:c r="AA343" s="7" t="str"/>
      <x:c r="AB343" s="7" t="str"/>
    </x:row>
    <x:row r="344" ht="40.400001525878906" customHeight="1">
      <x:c r="A344" s="7" t="str">
        <x:v>2025年4月1日</x:v>
      </x:c>
      <x:c r="B344" s="7" t="str">
        <x:v>日</x:v>
      </x:c>
      <x:c r="C344" s="7" t="str">
        <x:v>V-C08</x:v>
      </x:c>
      <x:c r="D344" s="7" t="str">
        <x:v>相模原グリーンスローモビリティ</x:v>
      </x:c>
      <x:c r="E344" s="7" t="str">
        <x:v>若葉台で運行開始</x:v>
      </x:c>
      <x:c r="F344" s="7" t="str">
        <x:v>若葉台本格運行</x:v>
      </x:c>
      <x:c r="G344" s="7" t="str">
        <x:v>地域事例</x:v>
      </x:c>
      <x:c r="H344" s="7" t="str">
        <x:v>横断検証（個別所管は資料参照）</x:v>
      </x:c>
      <x:c r="I344" s="7" t="str">
        <x:v>神奈川県相模原市</x:v>
      </x:c>
      <x:c r="J344" s="7" t="str"/>
      <x:c r="K344" s="18"/>
      <x:c r="L344" s="7" t="str"/>
      <x:c r="M344" s="18" t="n">
        <x:v>46326</x:v>
      </x:c>
      <x:c r="N344" s="7" t="str">
        <x:v>S102</x:v>
      </x:c>
      <x:c r="O344" s="7" t="str">
        <x:v>https://www.city.sagamihara.kanagawa.jp/shisei/1026823/toshikotsu/1029044.html</x:v>
      </x:c>
      <x:c r="P344" s="7" t="str"/>
      <x:c r="Q344" s="7" t="str">
        <x:v>EV-2b85b15d455c</x:v>
      </x:c>
      <x:c r="R344" s="7" t="str">
        <x:v>V-C08</x:v>
      </x:c>
      <x:c r="S344" s="20" t="n">
        <x:v>2025</x:v>
      </x:c>
      <x:c r="T344" s="20" t="n">
        <x:v>4</x:v>
      </x:c>
      <x:c r="U344" s="7" t="str">
        <x:v>暦年・暦月</x:v>
      </x:c>
      <x:c r="V344" s="18" t="n">
        <x:v>45748</x:v>
      </x:c>
      <x:c r="W344" s="7" t="str">
        <x:v>SRC-8a018442fd</x:v>
      </x:c>
      <x:c r="X344" s="7" t="str"/>
      <x:c r="Y344" s="20" t="n">
        <x:v>337</x:v>
      </x:c>
      <x:c r="Z344" s="7" t="str"/>
      <x:c r="AA344" s="7" t="str"/>
      <x:c r="AB344" s="7" t="str"/>
    </x:row>
    <x:row r="345" ht="68.80000305175781" customHeight="1">
      <x:c r="A345" s="7" t="str">
        <x:v>2025年度</x:v>
      </x:c>
      <x:c r="B345" s="7" t="str">
        <x:v>年度</x:v>
      </x:c>
      <x:c r="C345" s="7" t="str">
        <x:v>DIG-C14</x:v>
      </x:c>
      <x:c r="D345" s="7" t="str">
        <x:v>高蔵寺ニュータウン・モビリティハブ</x:v>
      </x:c>
      <x:c r="E345" s="7" t="str">
        <x:v>ハブとMaaS/支払・費用分担を結合するモデルの研究を継続。</x:v>
      </x:c>
      <x:c r="F345" s="7" t="str">
        <x:v>実装モデル検討</x:v>
      </x:c>
      <x:c r="G345" s="7" t="str">
        <x:v>地域事例</x:v>
      </x:c>
      <x:c r="H345" s="7" t="str">
        <x:v>内閣府CSTI
NEDO
経済産業省
内閣府・総務省・デジタル庁等</x:v>
      </x:c>
      <x:c r="I345" s="7" t="str">
        <x:v>愛知県春日井市</x:v>
      </x:c>
      <x:c r="J345" s="7" t="str">
        <x:v>DIG-P04</x:v>
      </x:c>
      <x:c r="K345" s="18"/>
      <x:c r="L345" s="7" t="str">
        <x:v>2026（FY2025報告）</x:v>
      </x:c>
      <x:c r="M345" s="18" t="n">
        <x:v>46326</x:v>
      </x:c>
      <x:c r="N345" s="7" t="str">
        <x:v>S047</x:v>
      </x:c>
      <x:c r="O345" s="7" t="str">
        <x:v>https://sip3.nedo.go.jp/smartmobility/upload/docs/fff151fc3abc36822d34b4009cbc88f664668456.pdf</x:v>
      </x:c>
      <x:c r="P345" s="7" t="str"/>
      <x:c r="Q345" s="7" t="str">
        <x:v>EV-4d6360c486f3</x:v>
      </x:c>
      <x:c r="R345" s="7" t="str">
        <x:v>DIG-C14</x:v>
      </x:c>
      <x:c r="S345" s="20" t="n">
        <x:v>2025</x:v>
      </x:c>
      <x:c r="T345" s="20" t="n">
        <x:v>4</x:v>
      </x:c>
      <x:c r="U345" s="7" t="str">
        <x:v>年度・年度末</x:v>
      </x:c>
      <x:c r="V345" s="18"/>
      <x:c r="W345" s="7" t="str">
        <x:v>SRC-2441cac973</x:v>
      </x:c>
      <x:c r="X345" s="7" t="str"/>
      <x:c r="Y345" s="20" t="n">
        <x:v>338</x:v>
      </x:c>
      <x:c r="Z345" s="7" t="str"/>
      <x:c r="AA345" s="7" t="str"/>
      <x:c r="AB345" s="7" t="str"/>
    </x:row>
    <x:row r="346" ht="125.5999984741211" customHeight="1">
      <x:c r="A346" s="7" t="str">
        <x:v>2025年度</x:v>
      </x:c>
      <x:c r="B346" s="7" t="str">
        <x:v>年度</x:v>
      </x:c>
      <x:c r="C346" s="7" t="str">
        <x:v>DIG-C19</x:v>
      </x:c>
      <x:c r="D346" s="7" t="str">
        <x:v>日立市大甕駅周辺・自動運転サービス支援道</x:v>
      </x:c>
      <x:c r="E346" s="7" t="str">
        <x:v>実験用要求・IF仕様と参照実装を公表。</x:v>
      </x:c>
      <x:c r="F346" s="7" t="str">
        <x:v>技術成果公表</x:v>
      </x:c>
      <x:c r="G346" s="7" t="str">
        <x:v>地域事例</x:v>
      </x:c>
      <x:c r="H346" s="7" t="str">
        <x:v>経済産業省
NEDO
IPA DADC
デジタル庁・デジタル行財政改革会議
デジタル庁
関係府省庁
地方自治体
内閣府・総務省・デジタル庁等</x:v>
      </x:c>
      <x:c r="I346" s="7" t="str">
        <x:v>茨城県日立市</x:v>
      </x:c>
      <x:c r="J346" s="7" t="str">
        <x:v>DIG-P16
DIG-P11</x:v>
      </x:c>
      <x:c r="K346" s="18" t="str">
        <x:v>2025</x:v>
      </x:c>
      <x:c r="L346" s="7" t="str">
        <x:v>2025</x:v>
      </x:c>
      <x:c r="M346" s="18" t="n">
        <x:v>46326</x:v>
      </x:c>
      <x:c r="N346" s="7" t="str">
        <x:v>S205</x:v>
      </x:c>
      <x:c r="O346" s="7" t="str">
        <x:v>https://www.meti.go.jp/policy/mono_info_service/digital_architecture/lifeline/jitugen2-siryou3.pdf</x:v>
      </x:c>
      <x:c r="P346" s="7" t="str"/>
      <x:c r="Q346" s="7" t="str">
        <x:v>EV-6cce6da1ca60</x:v>
      </x:c>
      <x:c r="R346" s="7" t="str">
        <x:v>DIG-C19</x:v>
      </x:c>
      <x:c r="S346" s="20" t="n">
        <x:v>2025</x:v>
      </x:c>
      <x:c r="T346" s="20" t="n">
        <x:v>4</x:v>
      </x:c>
      <x:c r="U346" s="7" t="str">
        <x:v>年度・年度末</x:v>
      </x:c>
      <x:c r="V346" s="18"/>
      <x:c r="W346" s="7" t="str">
        <x:v>SRC-27f9707c1a</x:v>
      </x:c>
      <x:c r="X346" s="7" t="str"/>
      <x:c r="Y346" s="20" t="n">
        <x:v>339</x:v>
      </x:c>
      <x:c r="Z346" s="7" t="str"/>
      <x:c r="AA346" s="7" t="str"/>
      <x:c r="AB346" s="7" t="str"/>
    </x:row>
    <x:row r="347" ht="54.599998474121094" customHeight="1">
      <x:c r="A347" s="7" t="str">
        <x:v>2025年度</x:v>
      </x:c>
      <x:c r="B347" s="7" t="str">
        <x:v>年度</x:v>
      </x:c>
      <x:c r="C347" s="7" t="str">
        <x:v>DIG-P12</x:v>
      </x:c>
      <x:c r="D347" s="7" t="str">
        <x:v>デジタル田園都市国家構想と地方創生交付金の系列</x:v>
      </x:c>
      <x:c r="E347" s="7" t="str">
        <x:v>新しい地方経済・生活環境創生交付金デジタル実装型に制度名変更。</x:v>
      </x:c>
      <x:c r="F347" s="7" t="str">
        <x:v>交付金改称</x:v>
      </x:c>
      <x:c r="G347" s="7" t="str">
        <x:v>政策制度</x:v>
      </x:c>
      <x:c r="H347" s="7" t="str">
        <x:v>内閣官房・内閣府地方創生
デジタル庁（基盤・実装支援）
地方自治体</x:v>
      </x:c>
      <x:c r="I347" s="7" t="str"/>
      <x:c r="J347" s="7" t="str">
        <x:v>DIG-P12</x:v>
      </x:c>
      <x:c r="K347" s="18" t="str">
        <x:v>2025</x:v>
      </x:c>
      <x:c r="L347" s="7" t="str">
        <x:v>2025</x:v>
      </x:c>
      <x:c r="M347" s="18" t="n">
        <x:v>46326</x:v>
      </x:c>
      <x:c r="N347" s="7" t="str">
        <x:v>S065</x:v>
      </x:c>
      <x:c r="O347" s="7" t="str">
        <x:v>https://www.chisou.go.jp/sousei/about/shinchihoukouhukin/digital/index.html</x:v>
      </x:c>
      <x:c r="P347" s="7" t="str"/>
      <x:c r="Q347" s="7" t="str">
        <x:v>EV-6e91fbe840d3</x:v>
      </x:c>
      <x:c r="R347" s="7" t="str">
        <x:v>DIG-P12</x:v>
      </x:c>
      <x:c r="S347" s="20" t="n">
        <x:v>2025</x:v>
      </x:c>
      <x:c r="T347" s="20" t="n">
        <x:v>4</x:v>
      </x:c>
      <x:c r="U347" s="7" t="str">
        <x:v>年度・年度末</x:v>
      </x:c>
      <x:c r="V347" s="18"/>
      <x:c r="W347" s="7" t="str">
        <x:v>SRC-5cf5383cae</x:v>
      </x:c>
      <x:c r="X347" s="7" t="str"/>
      <x:c r="Y347" s="20" t="n">
        <x:v>340</x:v>
      </x:c>
      <x:c r="Z347" s="7" t="str"/>
      <x:c r="AA347" s="7" t="str"/>
      <x:c r="AB347" s="7" t="str"/>
    </x:row>
    <x:row r="348" ht="30" customHeight="1">
      <x:c r="A348" s="7" t="str">
        <x:v>2025年4月</x:v>
      </x:c>
      <x:c r="B348" s="7" t="str">
        <x:v>月</x:v>
      </x:c>
      <x:c r="C348" s="7" t="str">
        <x:v>V-C06</x:v>
      </x:c>
      <x:c r="D348" s="7" t="str">
        <x:v>チョイソコとよあけ</x:v>
      </x:c>
      <x:c r="E348" s="7" t="str">
        <x:v>2028年3月までの運行契約期間が開始</x:v>
      </x:c>
      <x:c r="F348" s="7" t="str">
        <x:v>運行継続</x:v>
      </x:c>
      <x:c r="G348" s="7" t="str">
        <x:v>地域事例</x:v>
      </x:c>
      <x:c r="H348" s="7" t="str">
        <x:v>横断検証（個別所管は資料参照）</x:v>
      </x:c>
      <x:c r="I348" s="7" t="str">
        <x:v>愛知県豊明市</x:v>
      </x:c>
      <x:c r="J348" s="7" t="str"/>
      <x:c r="K348" s="18"/>
      <x:c r="L348" s="7" t="str"/>
      <x:c r="M348" s="18" t="n">
        <x:v>46326</x:v>
      </x:c>
      <x:c r="N348" s="7" t="str">
        <x:v>S118</x:v>
      </x:c>
      <x:c r="O348" s="7" t="str">
        <x:v>https://www.city.toyoake.lg.jp/6461.htm</x:v>
      </x:c>
      <x:c r="P348" s="7" t="str"/>
      <x:c r="Q348" s="7" t="str">
        <x:v>EV-999056330ef3</x:v>
      </x:c>
      <x:c r="R348" s="7" t="str">
        <x:v>V-C06</x:v>
      </x:c>
      <x:c r="S348" s="20" t="n">
        <x:v>2025</x:v>
      </x:c>
      <x:c r="T348" s="20" t="n">
        <x:v>4</x:v>
      </x:c>
      <x:c r="U348" s="7" t="str">
        <x:v>暦年・暦月</x:v>
      </x:c>
      <x:c r="V348" s="18"/>
      <x:c r="W348" s="7" t="str">
        <x:v>SRC-8276e606e9</x:v>
      </x:c>
      <x:c r="X348" s="7" t="str"/>
      <x:c r="Y348" s="20" t="n">
        <x:v>341</x:v>
      </x:c>
      <x:c r="Z348" s="7" t="str"/>
      <x:c r="AA348" s="7" t="str"/>
      <x:c r="AB348" s="7" t="str"/>
    </x:row>
    <x:row r="349" ht="40.400001525878906" customHeight="1">
      <x:c r="A349" s="7" t="str">
        <x:v>2025年4月</x:v>
      </x:c>
      <x:c r="B349" s="7" t="str">
        <x:v>月</x:v>
      </x:c>
      <x:c r="C349" s="7" t="str">
        <x:v>ENV-C09</x:v>
      </x:c>
      <x:c r="D349" s="7" t="str">
        <x:v>電池交換式EVごみ収集車</x:v>
      </x:c>
      <x:c r="E349" s="7" t="str">
        <x:v>緑区・見沼区で2台運行を報告</x:v>
      </x:c>
      <x:c r="F349" s="7" t="str">
        <x:v>実証継続</x:v>
      </x:c>
      <x:c r="G349" s="7" t="str">
        <x:v>地域事例</x:v>
      </x:c>
      <x:c r="H349" s="7" t="str">
        <x:v>環境省</x:v>
      </x:c>
      <x:c r="I349" s="7" t="str">
        <x:v>埼玉県さいたま市</x:v>
      </x:c>
      <x:c r="J349" s="7" t="str"/>
      <x:c r="K349" s="18" t="str">
        <x:v>2025-04</x:v>
      </x:c>
      <x:c r="L349" s="7" t="str">
        <x:v>2025-04</x:v>
      </x:c>
      <x:c r="M349" s="18" t="n">
        <x:v>46326</x:v>
      </x:c>
      <x:c r="N349" s="7" t="str">
        <x:v>S103</x:v>
      </x:c>
      <x:c r="O349" s="7" t="str">
        <x:v>https://www.city.saitama.lg.jp/001/009/015/010/004/p116572_d/fil/E-decokatsu_News_2.pdf</x:v>
      </x:c>
      <x:c r="P349" s="7" t="str"/>
      <x:c r="Q349" s="7" t="str">
        <x:v>EV-a294940e49f7</x:v>
      </x:c>
      <x:c r="R349" s="7" t="str">
        <x:v>ENV-C09</x:v>
      </x:c>
      <x:c r="S349" s="20" t="n">
        <x:v>2025</x:v>
      </x:c>
      <x:c r="T349" s="20" t="n">
        <x:v>4</x:v>
      </x:c>
      <x:c r="U349" s="7" t="str">
        <x:v>暦年・暦月</x:v>
      </x:c>
      <x:c r="V349" s="18"/>
      <x:c r="W349" s="7" t="str">
        <x:v>SRC-3005cf57c0</x:v>
      </x:c>
      <x:c r="X349" s="7" t="str"/>
      <x:c r="Y349" s="20" t="n">
        <x:v>342</x:v>
      </x:c>
      <x:c r="Z349" s="7" t="str"/>
      <x:c r="AA349" s="7" t="str"/>
      <x:c r="AB349" s="7" t="str"/>
    </x:row>
    <x:row r="350" ht="68.80000305175781" customHeight="1">
      <x:c r="A350" s="7" t="str">
        <x:v>2025年度</x:v>
      </x:c>
      <x:c r="B350" s="7" t="str">
        <x:v>年度</x:v>
      </x:c>
      <x:c r="C350" s="7" t="str">
        <x:v>DIG-C08</x:v>
      </x:c>
      <x:c r="D350" s="7" t="str">
        <x:v>美郷町の複数回線・長距離Wi-Fi・衛星通信</x:v>
      </x:c>
      <x:c r="E350" s="7" t="str">
        <x:v>複数回線・長距離Wi-Fi・衛星等を検証。</x:v>
      </x:c>
      <x:c r="F350" s="7" t="str">
        <x:v>実証実施</x:v>
      </x:c>
      <x:c r="G350" s="7" t="str">
        <x:v>地域事例</x:v>
      </x:c>
      <x:c r="H350" s="7" t="str">
        <x:v>総務省
三菱総合研究所（事務局）
地域コンソーシアム
内閣府・総務省・デジタル庁等</x:v>
      </x:c>
      <x:c r="I350" s="7" t="str">
        <x:v>島根県美郷町（粕渕・比之宮）</x:v>
      </x:c>
      <x:c r="J350" s="7" t="str">
        <x:v>DIG-P15</x:v>
      </x:c>
      <x:c r="K350" s="18"/>
      <x:c r="L350" s="7" t="str">
        <x:v>2026-06-03公開</x:v>
      </x:c>
      <x:c r="M350" s="18" t="n">
        <x:v>46326</x:v>
      </x:c>
      <x:c r="N350" s="7" t="str">
        <x:v>S035</x:v>
      </x:c>
      <x:c r="O350" s="7" t="str">
        <x:v>https://pubpjt.mri.co.jp/pjt_related/rcsad-info/eqghpc000000030i-att/20260603rcsad-info_houkoku_shimane_misato.pdf</x:v>
      </x:c>
      <x:c r="P350" s="7" t="str"/>
      <x:c r="Q350" s="7" t="str">
        <x:v>EV-a352f72b28f8</x:v>
      </x:c>
      <x:c r="R350" s="7" t="str">
        <x:v>DIG-C08</x:v>
      </x:c>
      <x:c r="S350" s="20" t="n">
        <x:v>2025</x:v>
      </x:c>
      <x:c r="T350" s="20" t="n">
        <x:v>4</x:v>
      </x:c>
      <x:c r="U350" s="7" t="str">
        <x:v>年度・年度末</x:v>
      </x:c>
      <x:c r="V350" s="18"/>
      <x:c r="W350" s="7" t="str">
        <x:v>SRC-6510930b8a</x:v>
      </x:c>
      <x:c r="X350" s="7" t="str"/>
      <x:c r="Y350" s="20" t="n">
        <x:v>343</x:v>
      </x:c>
      <x:c r="Z350" s="7" t="str"/>
      <x:c r="AA350" s="7" t="str"/>
      <x:c r="AB350" s="7" t="str"/>
    </x:row>
    <x:row r="351" ht="40.400001525878906" customHeight="1">
      <x:c r="A351" s="7" t="str">
        <x:v>2025年度</x:v>
      </x:c>
      <x:c r="B351" s="7" t="str">
        <x:v>年度</x:v>
      </x:c>
      <x:c r="C351" s="7" t="str">
        <x:v>meti_oda</x:v>
      </x:c>
      <x:c r="D351" s="7" t="str">
        <x:v>大田市 医療車両共同利用</x:v>
      </x:c>
      <x:c r="E351" s="7" t="str">
        <x:v>地域新MaaSに採択</x:v>
      </x:c>
      <x:c r="F351" s="7" t="str">
        <x:v>採択</x:v>
      </x:c>
      <x:c r="G351" s="7" t="str">
        <x:v>地域事例</x:v>
      </x:c>
      <x:c r="H351" s="7" t="str">
        <x:v>経済産業省</x:v>
      </x:c>
      <x:c r="I351" s="7" t="str">
        <x:v>島根県大田市</x:v>
      </x:c>
      <x:c r="J351" s="7" t="str">
        <x:v>smc</x:v>
      </x:c>
      <x:c r="K351" s="18" t="str">
        <x:v>2025</x:v>
      </x:c>
      <x:c r="L351" s="7" t="str">
        <x:v>2025</x:v>
      </x:c>
      <x:c r="M351" s="18" t="n">
        <x:v>46326</x:v>
      </x:c>
      <x:c r="N351" s="7" t="str">
        <x:v>S203</x:v>
      </x:c>
      <x:c r="O351" s="7" t="str">
        <x:v>https://www.meti.go.jp/policy/automobile/caseyosan/PDF/r7saitaku.pdf</x:v>
      </x:c>
      <x:c r="P351" s="7" t="str"/>
      <x:c r="Q351" s="7" t="str">
        <x:v>EV-a3c084944ea0</x:v>
      </x:c>
      <x:c r="R351" s="7" t="str">
        <x:v>meti_oda</x:v>
      </x:c>
      <x:c r="S351" s="20" t="n">
        <x:v>2025</x:v>
      </x:c>
      <x:c r="T351" s="20" t="n">
        <x:v>4</x:v>
      </x:c>
      <x:c r="U351" s="7" t="str">
        <x:v>年度・年度末</x:v>
      </x:c>
      <x:c r="V351" s="18"/>
      <x:c r="W351" s="7" t="str">
        <x:v>SRC-c774062e99</x:v>
      </x:c>
      <x:c r="X351" s="7" t="str"/>
      <x:c r="Y351" s="20" t="n">
        <x:v>344</x:v>
      </x:c>
      <x:c r="Z351" s="7" t="str"/>
      <x:c r="AA351" s="7" t="str"/>
      <x:c r="AB351" s="7" t="str"/>
    </x:row>
    <x:row r="352" ht="68.80000305175781" customHeight="1">
      <x:c r="A352" s="7" t="str">
        <x:v>2025年度</x:v>
      </x:c>
      <x:c r="B352" s="7" t="str">
        <x:v>年度</x:v>
      </x:c>
      <x:c r="C352" s="7" t="str">
        <x:v>DIG-C18</x:v>
      </x:c>
      <x:c r="D352" s="7" t="str">
        <x:v>東広島市の15分都市・地域モビリティ診断</x:v>
      </x:c>
      <x:c r="E352" s="7" t="str">
        <x:v>ダッシュボード/サンドボックス/地域協議等の研究成果を報告。表紙と内容日付に不整合あり細かな日付は留保。</x:v>
      </x:c>
      <x:c r="F352" s="7" t="str">
        <x:v>研究成果報告</x:v>
      </x:c>
      <x:c r="G352" s="7" t="str">
        <x:v>地域事例</x:v>
      </x:c>
      <x:c r="H352" s="7" t="str">
        <x:v>内閣府CSTI
NEDO
経済産業省
内閣府・総務省・デジタル庁等</x:v>
      </x:c>
      <x:c r="I352" s="7" t="str">
        <x:v>広島県東広島市（呉・庄原と連携）</x:v>
      </x:c>
      <x:c r="J352" s="7" t="str">
        <x:v>DIG-P04</x:v>
      </x:c>
      <x:c r="K352" s="18"/>
      <x:c r="L352" s="7" t="str">
        <x:v>FY2025（表紙2025-03だが2026-01記述あり、日付不整合を留保）</x:v>
      </x:c>
      <x:c r="M352" s="18" t="n">
        <x:v>46326</x:v>
      </x:c>
      <x:c r="N352" s="7" t="str">
        <x:v>S046</x:v>
      </x:c>
      <x:c r="O352" s="7" t="str">
        <x:v>https://sip3.nedo.go.jp/smartmobility/upload/docs/c145794ffd601929b62e99c486e5da33d78a0f47.pdf</x:v>
      </x:c>
      <x:c r="P352" s="7" t="str"/>
      <x:c r="Q352" s="7" t="str">
        <x:v>EV-a92e52091a79</x:v>
      </x:c>
      <x:c r="R352" s="7" t="str">
        <x:v>DIG-C18</x:v>
      </x:c>
      <x:c r="S352" s="20" t="n">
        <x:v>2025</x:v>
      </x:c>
      <x:c r="T352" s="20" t="n">
        <x:v>4</x:v>
      </x:c>
      <x:c r="U352" s="7" t="str">
        <x:v>年度・年度末</x:v>
      </x:c>
      <x:c r="V352" s="18"/>
      <x:c r="W352" s="7" t="str">
        <x:v>SRC-856396d4df</x:v>
      </x:c>
      <x:c r="X352" s="7" t="str"/>
      <x:c r="Y352" s="20" t="n">
        <x:v>345</x:v>
      </x:c>
      <x:c r="Z352" s="7" t="str"/>
      <x:c r="AA352" s="7" t="str"/>
      <x:c r="AB352" s="7" t="str"/>
    </x:row>
    <x:row r="353" ht="68.80000305175781" customHeight="1">
      <x:c r="A353" s="7" t="str">
        <x:v>2025年度</x:v>
      </x:c>
      <x:c r="B353" s="7" t="str">
        <x:v>年度</x:v>
      </x:c>
      <x:c r="C353" s="7" t="str">
        <x:v>DIG-C09</x:v>
      </x:c>
      <x:c r="D353" s="7" t="str">
        <x:v>高知市の救急車情報連携・自動停止</x:v>
      </x:c>
      <x:c r="E353" s="7" t="str">
        <x:v>救急車位置/状態を自動取得し自動運転車の停止/再発進に連携。</x:v>
      </x:c>
      <x:c r="F353" s="7" t="str">
        <x:v>実証実施</x:v>
      </x:c>
      <x:c r="G353" s="7" t="str">
        <x:v>地域事例</x:v>
      </x:c>
      <x:c r="H353" s="7" t="str">
        <x:v>総務省
三菱総合研究所（事務局）
地域コンソーシアム
内閣府・総務省・デジタル庁等</x:v>
      </x:c>
      <x:c r="I353" s="7" t="str">
        <x:v>高知県高知市</x:v>
      </x:c>
      <x:c r="J353" s="7" t="str">
        <x:v>DIG-P15</x:v>
      </x:c>
      <x:c r="K353" s="18"/>
      <x:c r="L353" s="7" t="str">
        <x:v>2026-06-03公開</x:v>
      </x:c>
      <x:c r="M353" s="18" t="n">
        <x:v>46326</x:v>
      </x:c>
      <x:c r="N353" s="7" t="str">
        <x:v>S033</x:v>
      </x:c>
      <x:c r="O353" s="7" t="str">
        <x:v>https://pubpjt.mri.co.jp/pjt_related/rcsad-info/eqghpc000000030i-att/20260603rcsad-info_houkoku_kouchi.pdf</x:v>
      </x:c>
      <x:c r="P353" s="7" t="str"/>
      <x:c r="Q353" s="7" t="str">
        <x:v>EV-c714cc72c428</x:v>
      </x:c>
      <x:c r="R353" s="7" t="str">
        <x:v>DIG-C09</x:v>
      </x:c>
      <x:c r="S353" s="20" t="n">
        <x:v>2025</x:v>
      </x:c>
      <x:c r="T353" s="20" t="n">
        <x:v>4</x:v>
      </x:c>
      <x:c r="U353" s="7" t="str">
        <x:v>年度・年度末</x:v>
      </x:c>
      <x:c r="V353" s="18"/>
      <x:c r="W353" s="7" t="str">
        <x:v>SRC-846bbdb748</x:v>
      </x:c>
      <x:c r="X353" s="7" t="str"/>
      <x:c r="Y353" s="20" t="n">
        <x:v>346</x:v>
      </x:c>
      <x:c r="Z353" s="7" t="str"/>
      <x:c r="AA353" s="7" t="str"/>
      <x:c r="AB353" s="7" t="str"/>
    </x:row>
    <x:row r="354" ht="68.80000305175781" customHeight="1">
      <x:c r="A354" s="7" t="str">
        <x:v>2025年度</x:v>
      </x:c>
      <x:c r="B354" s="7" t="str">
        <x:v>年度</x:v>
      </x:c>
      <x:c r="C354" s="7" t="str">
        <x:v>DIG-P16</x:v>
      </x:c>
      <x:c r="D354" s="7" t="str">
        <x:v>デジタルライフライン全国総合整備計画／整備事業</x:v>
      </x:c>
      <x:c r="E354" s="7" t="str">
        <x:v>実験用仕様・参照実装公開、NEDO整備事業を実施。</x:v>
      </x:c>
      <x:c r="F354" s="7" t="str">
        <x:v>参照実装公表</x:v>
      </x:c>
      <x:c r="G354" s="7" t="str">
        <x:v>政策制度</x:v>
      </x:c>
      <x:c r="H354" s="7" t="str">
        <x:v>経済産業省
NEDO
IPA DADC
デジタル庁・デジタル行財政改革会議</x:v>
      </x:c>
      <x:c r="I354" s="7" t="str"/>
      <x:c r="J354" s="7" t="str">
        <x:v>DIG-P16</x:v>
      </x:c>
      <x:c r="K354" s="18" t="str">
        <x:v>2025</x:v>
      </x:c>
      <x:c r="L354" s="7" t="str">
        <x:v>2025</x:v>
      </x:c>
      <x:c r="M354" s="18" t="n">
        <x:v>46326</x:v>
      </x:c>
      <x:c r="N354" s="7" t="str">
        <x:v>S205</x:v>
      </x:c>
      <x:c r="O354" s="7" t="str">
        <x:v>https://www.meti.go.jp/policy/mono_info_service/digital_architecture/lifeline/jitugen2-siryou3.pdf</x:v>
      </x:c>
      <x:c r="P354" s="7" t="str"/>
      <x:c r="Q354" s="7" t="str">
        <x:v>EV-d1188e29afc9</x:v>
      </x:c>
      <x:c r="R354" s="7" t="str">
        <x:v>DIG-P16</x:v>
      </x:c>
      <x:c r="S354" s="20" t="n">
        <x:v>2025</x:v>
      </x:c>
      <x:c r="T354" s="20" t="n">
        <x:v>4</x:v>
      </x:c>
      <x:c r="U354" s="7" t="str">
        <x:v>年度・年度末</x:v>
      </x:c>
      <x:c r="V354" s="18"/>
      <x:c r="W354" s="7" t="str">
        <x:v>SRC-27f9707c1a</x:v>
      </x:c>
      <x:c r="X354" s="7" t="str"/>
      <x:c r="Y354" s="20" t="n">
        <x:v>347</x:v>
      </x:c>
      <x:c r="Z354" s="7" t="str"/>
      <x:c r="AA354" s="7" t="str"/>
      <x:c r="AB354" s="7" t="str"/>
    </x:row>
    <x:row r="355" ht="30" customHeight="1">
      <x:c r="A355" s="7" t="str">
        <x:v>2025年4月</x:v>
      </x:c>
      <x:c r="B355" s="7" t="str">
        <x:v>月</x:v>
      </x:c>
      <x:c r="C355" s="7" t="str">
        <x:v>meti_mitoyo</x:v>
      </x:c>
      <x:c r="D355" s="7" t="str">
        <x:v>ゴイッショみとよ共同送迎</x:v>
      </x:c>
      <x:c r="E355" s="7" t="str">
        <x:v>運営主体をMiLAISへ移管</x:v>
      </x:c>
      <x:c r="F355" s="7" t="str">
        <x:v>体制変更</x:v>
      </x:c>
      <x:c r="G355" s="7" t="str">
        <x:v>地域事例</x:v>
      </x:c>
      <x:c r="H355" s="7" t="str">
        <x:v>経済産業省</x:v>
      </x:c>
      <x:c r="I355" s="7" t="str">
        <x:v>香川県三豊市</x:v>
      </x:c>
      <x:c r="J355" s="7" t="str">
        <x:v>smc</x:v>
      </x:c>
      <x:c r="K355" s="18"/>
      <x:c r="L355" s="7" t="str"/>
      <x:c r="M355" s="18" t="n">
        <x:v>46326</x:v>
      </x:c>
      <x:c r="N355" s="7" t="str">
        <x:v>S128</x:v>
      </x:c>
      <x:c r="O355" s="7" t="str">
        <x:v>https://www.daihatsu.co.jp/goissho/oshirase/d8f2f70000000151.htm</x:v>
      </x:c>
      <x:c r="P355" s="7" t="str"/>
      <x:c r="Q355" s="7" t="str">
        <x:v>EV-dd555461869e</x:v>
      </x:c>
      <x:c r="R355" s="7" t="str">
        <x:v>meti_mitoyo</x:v>
      </x:c>
      <x:c r="S355" s="20" t="n">
        <x:v>2025</x:v>
      </x:c>
      <x:c r="T355" s="20" t="n">
        <x:v>4</x:v>
      </x:c>
      <x:c r="U355" s="7" t="str">
        <x:v>暦年・暦月</x:v>
      </x:c>
      <x:c r="V355" s="18"/>
      <x:c r="W355" s="7" t="str">
        <x:v>SRC-919bf820f3</x:v>
      </x:c>
      <x:c r="X355" s="7" t="str"/>
      <x:c r="Y355" s="20" t="n">
        <x:v>348</x:v>
      </x:c>
      <x:c r="Z355" s="7" t="str"/>
      <x:c r="AA355" s="7" t="str"/>
      <x:c r="AB355" s="7" t="str"/>
    </x:row>
    <x:row r="356" ht="40.400001525878906" customHeight="1">
      <x:c r="A356" s="7" t="str">
        <x:v>2025年度</x:v>
      </x:c>
      <x:c r="B356" s="7" t="str">
        <x:v>年度</x:v>
      </x:c>
      <x:c r="C356" s="7" t="str">
        <x:v>meti_ina</x:v>
      </x:c>
      <x:c r="D356" s="7" t="str">
        <x:v>ゆうあいマーケット</x:v>
      </x:c>
      <x:c r="E356" s="7" t="str">
        <x:v>買物支援運営委託予算を計上</x:v>
      </x:c>
      <x:c r="F356" s="7" t="str">
        <x:v>サービス継続</x:v>
      </x:c>
      <x:c r="G356" s="7" t="str">
        <x:v>地域事例</x:v>
      </x:c>
      <x:c r="H356" s="7" t="str">
        <x:v>経済産業省</x:v>
      </x:c>
      <x:c r="I356" s="7" t="str">
        <x:v>長野県伊那市</x:v>
      </x:c>
      <x:c r="J356" s="7" t="str">
        <x:v>dress</x:v>
      </x:c>
      <x:c r="K356" s="18" t="str">
        <x:v>2025</x:v>
      </x:c>
      <x:c r="L356" s="7" t="str">
        <x:v>2025</x:v>
      </x:c>
      <x:c r="M356" s="18" t="n">
        <x:v>46326</x:v>
      </x:c>
      <x:c r="N356" s="7" t="str">
        <x:v>S184</x:v>
      </x:c>
      <x:c r="O356" s="7" t="str">
        <x:v>https://www.inacity.jp/shisei/zaiseishiryoko/yosankankei/R7yosansho.files/R7_tosho_ippan.pdf</x:v>
      </x:c>
      <x:c r="P356" s="7" t="str"/>
      <x:c r="Q356" s="7" t="str">
        <x:v>EV-e5815d71dffc</x:v>
      </x:c>
      <x:c r="R356" s="7" t="str">
        <x:v>meti_ina</x:v>
      </x:c>
      <x:c r="S356" s="20" t="n">
        <x:v>2025</x:v>
      </x:c>
      <x:c r="T356" s="20" t="n">
        <x:v>4</x:v>
      </x:c>
      <x:c r="U356" s="7" t="str">
        <x:v>年度・年度末</x:v>
      </x:c>
      <x:c r="V356" s="18"/>
      <x:c r="W356" s="7" t="str">
        <x:v>SRC-74f7454ed3</x:v>
      </x:c>
      <x:c r="X356" s="7" t="str"/>
      <x:c r="Y356" s="20" t="n">
        <x:v>349</x:v>
      </x:c>
      <x:c r="Z356" s="7" t="str"/>
      <x:c r="AA356" s="7" t="str"/>
      <x:c r="AB356" s="7" t="str"/>
    </x:row>
    <x:row r="357" ht="40.400001525878906" customHeight="1">
      <x:c r="A357" s="7" t="str">
        <x:v>2025年4月14日</x:v>
      </x:c>
      <x:c r="B357" s="7" t="str">
        <x:v>日</x:v>
      </x:c>
      <x:c r="C357" s="7" t="str">
        <x:v>meti_senboku</x:v>
      </x:c>
      <x:c r="D357" s="7" t="str">
        <x:v>仙北市リース・シェア連携</x:v>
      </x:c>
      <x:c r="E357" s="7" t="str">
        <x:v>地域新MaaS採択を公表</x:v>
      </x:c>
      <x:c r="F357" s="7" t="str">
        <x:v>採択</x:v>
      </x:c>
      <x:c r="G357" s="7" t="str">
        <x:v>地域事例</x:v>
      </x:c>
      <x:c r="H357" s="7" t="str">
        <x:v>経済産業省</x:v>
      </x:c>
      <x:c r="I357" s="7" t="str">
        <x:v>秋田県仙北市</x:v>
      </x:c>
      <x:c r="J357" s="7" t="str">
        <x:v>smc</x:v>
      </x:c>
      <x:c r="K357" s="18" t="n">
        <x:v>45761</x:v>
      </x:c>
      <x:c r="L357" s="7" t="str">
        <x:v>2025-04-14</x:v>
      </x:c>
      <x:c r="M357" s="18" t="n">
        <x:v>46326</x:v>
      </x:c>
      <x:c r="N357" s="7" t="str">
        <x:v>S318</x:v>
      </x:c>
      <x:c r="O357" s="7" t="str">
        <x:v>https://www.tohoku.meti.go.jp/koho/koshin/kobo/saitaku/2025/s250414001.html</x:v>
      </x:c>
      <x:c r="P357" s="7" t="str"/>
      <x:c r="Q357" s="7" t="str">
        <x:v>EV-a6854ada6824</x:v>
      </x:c>
      <x:c r="R357" s="7" t="str">
        <x:v>meti_senboku</x:v>
      </x:c>
      <x:c r="S357" s="20" t="n">
        <x:v>2025</x:v>
      </x:c>
      <x:c r="T357" s="20" t="n">
        <x:v>4</x:v>
      </x:c>
      <x:c r="U357" s="7" t="str">
        <x:v>暦年・暦月</x:v>
      </x:c>
      <x:c r="V357" s="18" t="n">
        <x:v>45761</x:v>
      </x:c>
      <x:c r="W357" s="7" t="str">
        <x:v>SRC-02600a6610</x:v>
      </x:c>
      <x:c r="X357" s="7" t="str"/>
      <x:c r="Y357" s="20" t="n">
        <x:v>350</x:v>
      </x:c>
      <x:c r="Z357" s="7" t="str"/>
      <x:c r="AA357" s="7" t="str"/>
      <x:c r="AB357" s="7" t="str"/>
    </x:row>
    <x:row r="358" ht="68.80000305175781" customHeight="1">
      <x:c r="A358" s="7" t="str">
        <x:v>2025年5月</x:v>
      </x:c>
      <x:c r="B358" s="7" t="str">
        <x:v>月</x:v>
      </x:c>
      <x:c r="C358" s="7" t="str">
        <x:v>DIG-C15</x:v>
      </x:c>
      <x:c r="D358" s="7" t="str">
        <x:v>西尾市のデジタチ・モビリティハブ・生活道路対策</x:v>
      </x:c>
      <x:c r="E358" s="7" t="str">
        <x:v>GWの駐車情報表示で臨時駐車場利用増を観測。交通政策全体の因果とは区別。</x:v>
      </x:c>
      <x:c r="F358" s="7" t="str">
        <x:v>地域実証評価</x:v>
      </x:c>
      <x:c r="G358" s="7" t="str">
        <x:v>地域事例</x:v>
      </x:c>
      <x:c r="H358" s="7" t="str">
        <x:v>内閣府CSTI
NEDO
経済産業省
内閣府・総務省・デジタル庁等</x:v>
      </x:c>
      <x:c r="I358" s="7" t="str">
        <x:v>愛知県西尾市吉良・幡豆地区</x:v>
      </x:c>
      <x:c r="J358" s="7" t="str">
        <x:v>DIG-P04</x:v>
      </x:c>
      <x:c r="K358" s="18"/>
      <x:c r="L358" s="7" t="str">
        <x:v>2026（FY2025報告）</x:v>
      </x:c>
      <x:c r="M358" s="18" t="n">
        <x:v>46326</x:v>
      </x:c>
      <x:c r="N358" s="7" t="str">
        <x:v>S047</x:v>
      </x:c>
      <x:c r="O358" s="7" t="str">
        <x:v>https://sip3.nedo.go.jp/smartmobility/upload/docs/fff151fc3abc36822d34b4009cbc88f664668456.pdf</x:v>
      </x:c>
      <x:c r="P358" s="7" t="str"/>
      <x:c r="Q358" s="7" t="str">
        <x:v>EV-644c9e0b8353</x:v>
      </x:c>
      <x:c r="R358" s="7" t="str">
        <x:v>DIG-C15</x:v>
      </x:c>
      <x:c r="S358" s="20" t="n">
        <x:v>2025</x:v>
      </x:c>
      <x:c r="T358" s="20" t="n">
        <x:v>5</x:v>
      </x:c>
      <x:c r="U358" s="7" t="str">
        <x:v>暦年・暦月</x:v>
      </x:c>
      <x:c r="V358" s="18"/>
      <x:c r="W358" s="7" t="str">
        <x:v>SRC-2441cac973</x:v>
      </x:c>
      <x:c r="X358" s="7" t="str"/>
      <x:c r="Y358" s="20" t="n">
        <x:v>351</x:v>
      </x:c>
      <x:c r="Z358" s="7" t="str"/>
      <x:c r="AA358" s="7" t="str"/>
      <x:c r="AB358" s="7" t="str"/>
    </x:row>
    <x:row r="359" ht="68.80000305175781" customHeight="1">
      <x:c r="A359" s="7" t="str">
        <x:v>2025-05-09/2025-06-29</x:v>
      </x:c>
      <x:c r="B359" s="7" t="str">
        <x:v>期間</x:v>
      </x:c>
      <x:c r="C359" s="7" t="str">
        <x:v>DIG-C17</x:v>
      </x:c>
      <x:c r="D359" s="7" t="str">
        <x:v>仁淀川町：外出目的創出とくるりんバス</x:v>
      </x:c>
      <x:c r="E359" s="7" t="str">
        <x:v>春の無料調査走行。168運行、71人468利用。対象はNPO支援対象者。</x:v>
      </x:c>
      <x:c r="F359" s="7" t="str">
        <x:v>春季実証</x:v>
      </x:c>
      <x:c r="G359" s="7" t="str">
        <x:v>地域事例</x:v>
      </x:c>
      <x:c r="H359" s="7" t="str">
        <x:v>内閣府CSTI
NEDO
経済産業省
内閣府・総務省・デジタル庁等</x:v>
      </x:c>
      <x:c r="I359" s="7" t="str">
        <x:v>高知県仁淀川町</x:v>
      </x:c>
      <x:c r="J359" s="7" t="str">
        <x:v>DIG-P04</x:v>
      </x:c>
      <x:c r="K359" s="18" t="str">
        <x:v>2026-03</x:v>
      </x:c>
      <x:c r="L359" s="7" t="str">
        <x:v>2026-03</x:v>
      </x:c>
      <x:c r="M359" s="18" t="n">
        <x:v>46326</x:v>
      </x:c>
      <x:c r="N359" s="7" t="str">
        <x:v>S045</x:v>
      </x:c>
      <x:c r="O359" s="7" t="str">
        <x:v>https://sip3.nedo.go.jp/smartmobility/upload/docs/7650a0e5fb857f859b853f1d600af61154d13e30.pdf</x:v>
      </x:c>
      <x:c r="P359" s="7" t="str"/>
      <x:c r="Q359" s="7" t="str">
        <x:v>EV-c003702909da</x:v>
      </x:c>
      <x:c r="R359" s="7" t="str">
        <x:v>DIG-C17</x:v>
      </x:c>
      <x:c r="S359" s="20" t="n">
        <x:v>2025</x:v>
      </x:c>
      <x:c r="T359" s="20" t="n">
        <x:v>5</x:v>
      </x:c>
      <x:c r="U359" s="7" t="str">
        <x:v>暦年・暦月</x:v>
      </x:c>
      <x:c r="V359" s="18"/>
      <x:c r="W359" s="7" t="str">
        <x:v>SRC-f420e4751a</x:v>
      </x:c>
      <x:c r="X359" s="7" t="str"/>
      <x:c r="Y359" s="20" t="n">
        <x:v>352</x:v>
      </x:c>
      <x:c r="Z359" s="7" t="str"/>
      <x:c r="AA359" s="7" t="str"/>
      <x:c r="AB359" s="7" t="str"/>
    </x:row>
    <x:row r="360" ht="40.400001525878906" customHeight="1">
      <x:c r="A360" s="7" t="str">
        <x:v>2025年6月5日</x:v>
      </x:c>
      <x:c r="B360" s="7" t="str">
        <x:v>日</x:v>
      </x:c>
      <x:c r="C360" s="7" t="str">
        <x:v>meti_oita</x:v>
      </x:c>
      <x:c r="D360" s="7" t="str">
        <x:v>大分MaaS・九州MaaSへの接続</x:v>
      </x:c>
      <x:c r="E360" s="7" t="str">
        <x:v>大分MaaSタクシー連携・ホーバー連携構想を報告</x:v>
      </x:c>
      <x:c r="F360" s="7" t="str">
        <x:v>機能/計画確認</x:v>
      </x:c>
      <x:c r="G360" s="7" t="str">
        <x:v>地域事例</x:v>
      </x:c>
      <x:c r="H360" s="7" t="str">
        <x:v>経済産業省</x:v>
      </x:c>
      <x:c r="I360" s="7" t="str">
        <x:v>大分県大分市・別府市等</x:v>
      </x:c>
      <x:c r="J360" s="7" t="str">
        <x:v>smc</x:v>
      </x:c>
      <x:c r="K360" s="18" t="n">
        <x:v>45813</x:v>
      </x:c>
      <x:c r="L360" s="7" t="str">
        <x:v>2025-06-05</x:v>
      </x:c>
      <x:c r="M360" s="18" t="n">
        <x:v>46326</x:v>
      </x:c>
      <x:c r="N360" s="7" t="str">
        <x:v>S198</x:v>
      </x:c>
      <x:c r="O360" s="7" t="str">
        <x:v>https://www.kyushu.meti.go.jp/seisaku/chuken/oshirase/250605_1_3.pdf</x:v>
      </x:c>
      <x:c r="P360" s="7" t="str"/>
      <x:c r="Q360" s="7" t="str">
        <x:v>EV-5a432a3b6a36</x:v>
      </x:c>
      <x:c r="R360" s="7" t="str">
        <x:v>meti_oita</x:v>
      </x:c>
      <x:c r="S360" s="20" t="n">
        <x:v>2025</x:v>
      </x:c>
      <x:c r="T360" s="20" t="n">
        <x:v>6</x:v>
      </x:c>
      <x:c r="U360" s="7" t="str">
        <x:v>暦年・暦月</x:v>
      </x:c>
      <x:c r="V360" s="18" t="n">
        <x:v>45813</x:v>
      </x:c>
      <x:c r="W360" s="7" t="str">
        <x:v>SRC-0d038964d4</x:v>
      </x:c>
      <x:c r="X360" s="7" t="str"/>
      <x:c r="Y360" s="20" t="n">
        <x:v>353</x:v>
      </x:c>
      <x:c r="Z360" s="7" t="str"/>
      <x:c r="AA360" s="7" t="str"/>
      <x:c r="AB360" s="7" t="str"/>
    </x:row>
    <x:row r="361" ht="54.599998474121094" customHeight="1">
      <x:c r="A361" s="7" t="str">
        <x:v>2025年6月13日</x:v>
      </x:c>
      <x:c r="B361" s="7" t="str">
        <x:v>日</x:v>
      </x:c>
      <x:c r="C361" s="7" t="str">
        <x:v>DIG-P10</x:v>
      </x:c>
      <x:c r="D361" s="7" t="str">
        <x:v>モビリティ・ロードマップ／モビリティWG</x:v>
      </x:c>
      <x:c r="E361" s="7" t="str">
        <x:v>2025版で交通商社機能・先行的事業化地域を位置づけ。</x:v>
      </x:c>
      <x:c r="F361" s="7" t="str">
        <x:v>戦略改訂</x:v>
      </x:c>
      <x:c r="G361" s="7" t="str">
        <x:v>政策制度</x:v>
      </x:c>
      <x:c r="H361" s="7" t="str">
        <x:v>デジタル庁
デジタル社会推進会議
関係府省</x:v>
      </x:c>
      <x:c r="I361" s="7" t="str"/>
      <x:c r="J361" s="7" t="str">
        <x:v>DIG-P10</x:v>
      </x:c>
      <x:c r="K361" s="18" t="n">
        <x:v>45821</x:v>
      </x:c>
      <x:c r="L361" s="7" t="str">
        <x:v>2025-06-13</x:v>
      </x:c>
      <x:c r="M361" s="18" t="n">
        <x:v>46326</x:v>
      </x:c>
      <x:c r="N361" s="7" t="str">
        <x:v>S132</x:v>
      </x:c>
      <x:c r="O361" s="7" t="str">
        <x:v>https://www.digital.go.jp/assets/contents/node/basic_page/field_ref_resources/2415ad00-6a79-4ebc-8fb1-51a47b1b0552/b1e4eee0/20250613_resources_mobility_policy_01.pdf</x:v>
      </x:c>
      <x:c r="P361" s="7" t="str"/>
      <x:c r="Q361" s="7" t="str">
        <x:v>EV-4950db71f184</x:v>
      </x:c>
      <x:c r="R361" s="7" t="str">
        <x:v>DIG-P10</x:v>
      </x:c>
      <x:c r="S361" s="20" t="n">
        <x:v>2025</x:v>
      </x:c>
      <x:c r="T361" s="20" t="n">
        <x:v>6</x:v>
      </x:c>
      <x:c r="U361" s="7" t="str">
        <x:v>暦年・暦月</x:v>
      </x:c>
      <x:c r="V361" s="18" t="n">
        <x:v>45821</x:v>
      </x:c>
      <x:c r="W361" s="7" t="str">
        <x:v>SRC-58d6252d1d</x:v>
      </x:c>
      <x:c r="X361" s="7" t="str"/>
      <x:c r="Y361" s="20" t="n">
        <x:v>354</x:v>
      </x:c>
      <x:c r="Z361" s="7" t="str"/>
      <x:c r="AA361" s="7" t="str"/>
      <x:c r="AB361" s="7" t="str"/>
    </x:row>
    <x:row r="362" ht="40.400001525878906" customHeight="1">
      <x:c r="A362" s="7" t="str">
        <x:v>2025年6月27日</x:v>
      </x:c>
      <x:c r="B362" s="7" t="str">
        <x:v>日</x:v>
      </x:c>
      <x:c r="C362" s="7" t="str">
        <x:v>commmmons</x:v>
      </x:c>
      <x:c r="D362" s="7" t="str">
        <x:v>地域交通DX COMmmmONS</x:v>
      </x:c>
      <x:c r="E362" s="7" t="str">
        <x:v>国交省がCOMmmmONS始動を公表。サイロ化解消・標準化・共同利用を推進。デジタル庁の単独事業ではない。</x:v>
      </x:c>
      <x:c r="F362" s="7" t="str">
        <x:v>事業開始</x:v>
      </x:c>
      <x:c r="G362" s="7" t="str">
        <x:v>政策制度</x:v>
      </x:c>
      <x:c r="H362" s="7" t="str">
        <x:v>国土交通省</x:v>
      </x:c>
      <x:c r="I362" s="7" t="str"/>
      <x:c r="J362" s="7" t="str">
        <x:v>commmmons</x:v>
      </x:c>
      <x:c r="K362" s="18" t="n">
        <x:v>45835</x:v>
      </x:c>
      <x:c r="L362" s="7" t="str">
        <x:v>2025-06-27</x:v>
      </x:c>
      <x:c r="M362" s="18" t="n">
        <x:v>46326</x:v>
      </x:c>
      <x:c r="N362" s="7" t="str">
        <x:v>S247</x:v>
      </x:c>
      <x:c r="O362" s="7" t="str">
        <x:v>https://www.mlit.go.jp/report/press/sogo12_hh_000454.html</x:v>
      </x:c>
      <x:c r="P362" s="7" t="str"/>
      <x:c r="Q362" s="7" t="str">
        <x:v>EV-10b110e49831</x:v>
      </x:c>
      <x:c r="R362" s="7" t="str">
        <x:v>DIG-P18</x:v>
      </x:c>
      <x:c r="S362" s="20" t="n">
        <x:v>2025</x:v>
      </x:c>
      <x:c r="T362" s="20" t="n">
        <x:v>6</x:v>
      </x:c>
      <x:c r="U362" s="7" t="str">
        <x:v>暦年・暦月</x:v>
      </x:c>
      <x:c r="V362" s="18" t="n">
        <x:v>45835</x:v>
      </x:c>
      <x:c r="W362" s="7" t="str">
        <x:v>SRC-1cf61fd376</x:v>
      </x:c>
      <x:c r="X362" s="7" t="str"/>
      <x:c r="Y362" s="20" t="n">
        <x:v>355</x:v>
      </x:c>
      <x:c r="Z362" s="7" t="str"/>
      <x:c r="AA362" s="7" t="str"/>
      <x:c r="AB362" s="7" t="str"/>
    </x:row>
    <x:row r="363" ht="30" customHeight="1">
      <x:c r="A363" s="7" t="str">
        <x:v>2025年7月</x:v>
      </x:c>
      <x:c r="B363" s="7" t="str">
        <x:v>月</x:v>
      </x:c>
      <x:c r="C363" s="7" t="str">
        <x:v>mlit_hachinohe</x:v>
      </x:c>
      <x:c r="D363" s="7" t="str">
        <x:v>八戸圏域モビリティ人材育成</x:v>
      </x:c>
      <x:c r="E363" s="7" t="str">
        <x:v>職員研修開始</x:v>
      </x:c>
      <x:c r="F363" s="7" t="str">
        <x:v>能力開発</x:v>
      </x:c>
      <x:c r="G363" s="7" t="str">
        <x:v>地域事例</x:v>
      </x:c>
      <x:c r="H363" s="7" t="str">
        <x:v>国土交通省</x:v>
      </x:c>
      <x:c r="I363" s="7" t="str">
        <x:v>青森県八戸圏域8市町村</x:v>
      </x:c>
      <x:c r="J363" s="7" t="str">
        <x:v>human</x:v>
      </x:c>
      <x:c r="K363" s="18"/>
      <x:c r="L363" s="7" t="str">
        <x:v>FY2025</x:v>
      </x:c>
      <x:c r="M363" s="18" t="n">
        <x:v>46326</x:v>
      </x:c>
      <x:c r="N363" s="7" t="str">
        <x:v>S019</x:v>
      </x:c>
      <x:c r="O363" s="7" t="str">
        <x:v>https://kotsu-kuhaku.jp/adopter_7/mobi/detail.php?CN=426329</x:v>
      </x:c>
      <x:c r="P363" s="7" t="str"/>
      <x:c r="Q363" s="7" t="str">
        <x:v>EV-9f6d1bc39e86</x:v>
      </x:c>
      <x:c r="R363" s="7" t="str">
        <x:v>mlit_hachinohe</x:v>
      </x:c>
      <x:c r="S363" s="20" t="n">
        <x:v>2025</x:v>
      </x:c>
      <x:c r="T363" s="20" t="n">
        <x:v>7</x:v>
      </x:c>
      <x:c r="U363" s="7" t="str">
        <x:v>暦年・暦月</x:v>
      </x:c>
      <x:c r="V363" s="18"/>
      <x:c r="W363" s="7" t="str">
        <x:v>SRC-d89c42a8f3</x:v>
      </x:c>
      <x:c r="X363" s="7" t="str"/>
      <x:c r="Y363" s="20" t="n">
        <x:v>356</x:v>
      </x:c>
      <x:c r="Z363" s="7" t="str"/>
      <x:c r="AA363" s="7" t="str"/>
      <x:c r="AB363" s="7" t="str"/>
    </x:row>
    <x:row r="364" ht="54.599998474121094" customHeight="1">
      <x:c r="A364" s="7" t="str">
        <x:v>2025年7月14日</x:v>
      </x:c>
      <x:c r="B364" s="7" t="str">
        <x:v>日</x:v>
      </x:c>
      <x:c r="C364" s="7" t="str">
        <x:v>DIG-P15</x:v>
      </x:c>
      <x:c r="D364" s="7" t="str">
        <x:v>地域デジタル基盤活用推進／地域社会DX推進パッケージ：自動運転L4検証タイプ</x:v>
      </x:c>
      <x:c r="E364" s="7" t="str">
        <x:v>FY2024成果報告を公表。</x:v>
      </x:c>
      <x:c r="F364" s="7" t="str">
        <x:v>成果報告</x:v>
      </x:c>
      <x:c r="G364" s="7" t="str">
        <x:v>政策制度</x:v>
      </x:c>
      <x:c r="H364" s="7" t="str">
        <x:v>総務省
三菱総合研究所（事務局）
地域コンソーシアム</x:v>
      </x:c>
      <x:c r="I364" s="7" t="str"/>
      <x:c r="J364" s="7" t="str">
        <x:v>DIG-P15</x:v>
      </x:c>
      <x:c r="K364" s="18"/>
      <x:c r="L364" s="7" t="str">
        <x:v>2026-08-07まで更新／2026-10-31閲覧</x:v>
      </x:c>
      <x:c r="M364" s="18" t="n">
        <x:v>46326</x:v>
      </x:c>
      <x:c r="N364" s="7" t="str">
        <x:v>S036</x:v>
      </x:c>
      <x:c r="O364" s="7" t="str">
        <x:v>https://pubpjt.mri.co.jp/pjt_related/rcsad-info/index.html</x:v>
      </x:c>
      <x:c r="P364" s="7" t="str"/>
      <x:c r="Q364" s="7" t="str">
        <x:v>EV-5659e94c9abb</x:v>
      </x:c>
      <x:c r="R364" s="7" t="str">
        <x:v>DIG-P15</x:v>
      </x:c>
      <x:c r="S364" s="20" t="n">
        <x:v>2025</x:v>
      </x:c>
      <x:c r="T364" s="20" t="n">
        <x:v>7</x:v>
      </x:c>
      <x:c r="U364" s="7" t="str">
        <x:v>暦年・暦月</x:v>
      </x:c>
      <x:c r="V364" s="18" t="n">
        <x:v>45852</x:v>
      </x:c>
      <x:c r="W364" s="7" t="str">
        <x:v>SRC-dd614f096b</x:v>
      </x:c>
      <x:c r="X364" s="7" t="str"/>
      <x:c r="Y364" s="20" t="n">
        <x:v>357</x:v>
      </x:c>
      <x:c r="Z364" s="7" t="str"/>
      <x:c r="AA364" s="7" t="str"/>
      <x:c r="AB364" s="7" t="str"/>
    </x:row>
    <x:row r="365" ht="68.80000305175781" customHeight="1">
      <x:c r="A365" s="7" t="str">
        <x:v>2025年7月14日</x:v>
      </x:c>
      <x:c r="B365" s="7" t="str">
        <x:v>日</x:v>
      </x:c>
      <x:c r="C365" s="7" t="str">
        <x:v>DIG-C05</x:v>
      </x:c>
      <x:c r="D365" s="7" t="str">
        <x:v>糠平湖トンネル遠隔監視通信</x:v>
      </x:c>
      <x:c r="E365" s="7" t="str">
        <x:v>受託事務局が成果報告公開。通信改善を恒久運行確立とは数えない。</x:v>
      </x:c>
      <x:c r="F365" s="7" t="str">
        <x:v>成果公表</x:v>
      </x:c>
      <x:c r="G365" s="7" t="str">
        <x:v>地域事例</x:v>
      </x:c>
      <x:c r="H365" s="7" t="str">
        <x:v>総務省
三菱総合研究所（事務局）
地域コンソーシアム
内閣府・総務省・デジタル庁等</x:v>
      </x:c>
      <x:c r="I365" s="7" t="str">
        <x:v>北海道上士幌町</x:v>
      </x:c>
      <x:c r="J365" s="7" t="str">
        <x:v>DIG-P15</x:v>
      </x:c>
      <x:c r="K365" s="18"/>
      <x:c r="L365" s="7" t="str">
        <x:v>2026-08-07まで更新／2026-10-31閲覧</x:v>
      </x:c>
      <x:c r="M365" s="18" t="n">
        <x:v>46326</x:v>
      </x:c>
      <x:c r="N365" s="7" t="str">
        <x:v>S036</x:v>
      </x:c>
      <x:c r="O365" s="7" t="str">
        <x:v>https://pubpjt.mri.co.jp/pjt_related/rcsad-info/index.html</x:v>
      </x:c>
      <x:c r="P365" s="7" t="str"/>
      <x:c r="Q365" s="7" t="str">
        <x:v>EV-a825c86660cd</x:v>
      </x:c>
      <x:c r="R365" s="7" t="str">
        <x:v>DIG-C05</x:v>
      </x:c>
      <x:c r="S365" s="20" t="n">
        <x:v>2025</x:v>
      </x:c>
      <x:c r="T365" s="20" t="n">
        <x:v>7</x:v>
      </x:c>
      <x:c r="U365" s="7" t="str">
        <x:v>暦年・暦月</x:v>
      </x:c>
      <x:c r="V365" s="18" t="n">
        <x:v>45852</x:v>
      </x:c>
      <x:c r="W365" s="7" t="str">
        <x:v>SRC-dd614f096b</x:v>
      </x:c>
      <x:c r="X365" s="7" t="str"/>
      <x:c r="Y365" s="20" t="n">
        <x:v>358</x:v>
      </x:c>
      <x:c r="Z365" s="7" t="str"/>
      <x:c r="AA365" s="7" t="str"/>
      <x:c r="AB365" s="7" t="str"/>
    </x:row>
    <x:row r="366" ht="125.5999984741211" customHeight="1">
      <x:c r="A366" s="7" t="str">
        <x:v>2025年7月14日</x:v>
      </x:c>
      <x:c r="B366" s="7" t="str">
        <x:v>日</x:v>
      </x:c>
      <x:c r="C366" s="7" t="str">
        <x:v>DIG-C03</x:v>
      </x:c>
      <x:c r="D366" s="7" t="str">
        <x:v>前橋駅～中央前橋駅5G遠隔監視／路車協調</x:v>
      </x:c>
      <x:c r="E366" s="7" t="str">
        <x:v>FY2024前橋・中之条通信実証の報告を公表。車両の全国展開とは別の通信成果。</x:v>
      </x:c>
      <x:c r="F366" s="7" t="str">
        <x:v>成果報告</x:v>
      </x:c>
      <x:c r="G366" s="7" t="str">
        <x:v>地域事例</x:v>
      </x:c>
      <x:c r="H366" s="7" t="str">
        <x:v>総務省
事務局
地域コンソーシアム
三菱総合研究所（事務局）
内閣官房・内閣府地方創生
デジタル庁（基盤・実装支援）
地方自治体
内閣府・総務省・デジタル庁等</x:v>
      </x:c>
      <x:c r="I366" s="7" t="str">
        <x:v>群馬県前橋市（R6は中之条町共同）</x:v>
      </x:c>
      <x:c r="J366" s="7" t="str">
        <x:v>DIG-P14
DIG-P15
DIG-P12</x:v>
      </x:c>
      <x:c r="K366" s="18"/>
      <x:c r="L366" s="7" t="str">
        <x:v>2025-07-14公開</x:v>
      </x:c>
      <x:c r="M366" s="18" t="n">
        <x:v>46326</x:v>
      </x:c>
      <x:c r="N366" s="7" t="str">
        <x:v>S029</x:v>
      </x:c>
      <x:c r="O366" s="7" t="str">
        <x:v>https://pubpjt.mri.co.jp/pjt_related/rcsad-info/eqghpc000000030i-att/20250714rcsad-info_houkoku_gunma_maebashi_nakanojo.pdf</x:v>
      </x:c>
      <x:c r="P366" s="7" t="str"/>
      <x:c r="Q366" s="7" t="str">
        <x:v>EV-e2c84c7b0ff0</x:v>
      </x:c>
      <x:c r="R366" s="7" t="str">
        <x:v>DIG-C03</x:v>
      </x:c>
      <x:c r="S366" s="20" t="n">
        <x:v>2025</x:v>
      </x:c>
      <x:c r="T366" s="20" t="n">
        <x:v>7</x:v>
      </x:c>
      <x:c r="U366" s="7" t="str">
        <x:v>暦年・暦月</x:v>
      </x:c>
      <x:c r="V366" s="18" t="n">
        <x:v>45852</x:v>
      </x:c>
      <x:c r="W366" s="7" t="str">
        <x:v>SRC-c3999aa7a9</x:v>
      </x:c>
      <x:c r="X366" s="7" t="str"/>
      <x:c r="Y366" s="20" t="n">
        <x:v>359</x:v>
      </x:c>
      <x:c r="Z366" s="7" t="str"/>
      <x:c r="AA366" s="7" t="str"/>
      <x:c r="AB366" s="7" t="str"/>
    </x:row>
    <x:row r="367" ht="111.4000015258789" customHeight="1">
      <x:c r="A367" s="7" t="str">
        <x:v>2025年7月14日</x:v>
      </x:c>
      <x:c r="B367" s="7" t="str">
        <x:v>日</x:v>
      </x:c>
      <x:c r="C367" s="7" t="str">
        <x:v>DIG-C06</x:v>
      </x:c>
      <x:c r="D367" s="7" t="str">
        <x:v>小松駅・空港路線のローカル5Gと路側情報配信</x:v>
      </x:c>
      <x:c r="E367" s="7" t="str">
        <x:v>20GB OTAは最長15分23秒等を報告。ただし自動運転判断/制御との連携は対象外。</x:v>
      </x:c>
      <x:c r="F367" s="7" t="str">
        <x:v>成果報告</x:v>
      </x:c>
      <x:c r="G367" s="7" t="str">
        <x:v>地域事例</x:v>
      </x:c>
      <x:c r="H367" s="7" t="str">
        <x:v>総務省
三菱総合研究所（事務局）
地域コンソーシアム
デジタル庁
関係府省庁
地方自治体
内閣府・総務省・デジタル庁等</x:v>
      </x:c>
      <x:c r="I367" s="7" t="str">
        <x:v>石川県小松市</x:v>
      </x:c>
      <x:c r="J367" s="7" t="str">
        <x:v>DIG-P15
DIG-P11</x:v>
      </x:c>
      <x:c r="K367" s="18"/>
      <x:c r="L367" s="7" t="str">
        <x:v>2025-07-14公開</x:v>
      </x:c>
      <x:c r="M367" s="18" t="n">
        <x:v>46326</x:v>
      </x:c>
      <x:c r="N367" s="7" t="str">
        <x:v>S031</x:v>
      </x:c>
      <x:c r="O367" s="7" t="str">
        <x:v>https://pubpjt.mri.co.jp/pjt_related/rcsad-info/eqghpc000000030i-att/20250714rcsad-info_houkoku_ishikawa_komatsu.pdf</x:v>
      </x:c>
      <x:c r="P367" s="7" t="str"/>
      <x:c r="Q367" s="7" t="str">
        <x:v>EV-ef10690cf008</x:v>
      </x:c>
      <x:c r="R367" s="7" t="str">
        <x:v>DIG-C06</x:v>
      </x:c>
      <x:c r="S367" s="20" t="n">
        <x:v>2025</x:v>
      </x:c>
      <x:c r="T367" s="20" t="n">
        <x:v>7</x:v>
      </x:c>
      <x:c r="U367" s="7" t="str">
        <x:v>暦年・暦月</x:v>
      </x:c>
      <x:c r="V367" s="18" t="n">
        <x:v>45852</x:v>
      </x:c>
      <x:c r="W367" s="7" t="str">
        <x:v>SRC-fad30d1732</x:v>
      </x:c>
      <x:c r="X367" s="7" t="str"/>
      <x:c r="Y367" s="20" t="n">
        <x:v>360</x:v>
      </x:c>
      <x:c r="Z367" s="7" t="str"/>
      <x:c r="AA367" s="7" t="str"/>
      <x:c r="AB367" s="7" t="str"/>
    </x:row>
    <x:row r="368" ht="30" customHeight="1">
      <x:c r="A368" s="7" t="str">
        <x:v>2025年7月23日</x:v>
      </x:c>
      <x:c r="B368" s="7" t="str">
        <x:v>日</x:v>
      </x:c>
      <x:c r="C368" s="7" t="str">
        <x:v>mlit_iyo</x:v>
      </x:c>
      <x:c r="D368" s="7" t="str">
        <x:v>双海地区自動運転バス</x:v>
      </x:c>
      <x:c r="E368" s="7" t="str">
        <x:v>当年度国補助不採択と休止方針公表</x:v>
      </x:c>
      <x:c r="F368" s="7" t="str">
        <x:v>財源中断</x:v>
      </x:c>
      <x:c r="G368" s="7" t="str">
        <x:v>地域事例</x:v>
      </x:c>
      <x:c r="H368" s="7" t="str">
        <x:v>国土交通省</x:v>
      </x:c>
      <x:c r="I368" s="7" t="str">
        <x:v>愛媛県伊予市</x:v>
      </x:c>
      <x:c r="J368" s="7" t="str">
        <x:v>av_support</x:v>
      </x:c>
      <x:c r="K368" s="18" t="n">
        <x:v>45861</x:v>
      </x:c>
      <x:c r="L368" s="7" t="str">
        <x:v>2025-07-23</x:v>
      </x:c>
      <x:c r="M368" s="18" t="n">
        <x:v>46326</x:v>
      </x:c>
      <x:c r="N368" s="7" t="str">
        <x:v>S070</x:v>
      </x:c>
      <x:c r="O368" s="7" t="str">
        <x:v>https://www.city.iyo.lg.jp/kikakuseisaku/jidouunten-kyushi.html</x:v>
      </x:c>
      <x:c r="P368" s="7" t="str"/>
      <x:c r="Q368" s="7" t="str">
        <x:v>EV-3ebb4bb723f3</x:v>
      </x:c>
      <x:c r="R368" s="7" t="str">
        <x:v>mlit_iyo</x:v>
      </x:c>
      <x:c r="S368" s="20" t="n">
        <x:v>2025</x:v>
      </x:c>
      <x:c r="T368" s="20" t="n">
        <x:v>7</x:v>
      </x:c>
      <x:c r="U368" s="7" t="str">
        <x:v>暦年・暦月</x:v>
      </x:c>
      <x:c r="V368" s="18" t="n">
        <x:v>45861</x:v>
      </x:c>
      <x:c r="W368" s="7" t="str">
        <x:v>SRC-62e072869c</x:v>
      </x:c>
      <x:c r="X368" s="7" t="str"/>
      <x:c r="Y368" s="20" t="n">
        <x:v>361</x:v>
      </x:c>
      <x:c r="Z368" s="7" t="str"/>
      <x:c r="AA368" s="7" t="str"/>
      <x:c r="AB368" s="7" t="str"/>
    </x:row>
    <x:row r="369" ht="54.599998474121094" customHeight="1">
      <x:c r="A369" s="7" t="str">
        <x:v>2025年7月29日</x:v>
      </x:c>
      <x:c r="B369" s="7" t="str">
        <x:v>日</x:v>
      </x:c>
      <x:c r="C369" s="7" t="str">
        <x:v>DIG-P15</x:v>
      </x:c>
      <x:c r="D369" s="7" t="str">
        <x:v>地域デジタル基盤活用推進／地域社会DX推進パッケージ：自動運転L4検証タイプ</x:v>
      </x:c>
      <x:c r="E369" s="7" t="str">
        <x:v>FY2025地域概要を公表。福山は後に採択取下げ。</x:v>
      </x:c>
      <x:c r="F369" s="7" t="str">
        <x:v>事業群公表</x:v>
      </x:c>
      <x:c r="G369" s="7" t="str">
        <x:v>政策制度</x:v>
      </x:c>
      <x:c r="H369" s="7" t="str">
        <x:v>総務省
三菱総合研究所（事務局）
地域コンソーシアム</x:v>
      </x:c>
      <x:c r="I369" s="7" t="str"/>
      <x:c r="J369" s="7" t="str">
        <x:v>DIG-P15</x:v>
      </x:c>
      <x:c r="K369" s="18"/>
      <x:c r="L369" s="7" t="str">
        <x:v>2026-08-07まで更新／2026-10-31閲覧</x:v>
      </x:c>
      <x:c r="M369" s="18" t="n">
        <x:v>46326</x:v>
      </x:c>
      <x:c r="N369" s="7" t="str">
        <x:v>S036</x:v>
      </x:c>
      <x:c r="O369" s="7" t="str">
        <x:v>https://pubpjt.mri.co.jp/pjt_related/rcsad-info/index.html</x:v>
      </x:c>
      <x:c r="P369" s="7" t="str"/>
      <x:c r="Q369" s="7" t="str">
        <x:v>EV-4cf8900d3b6e</x:v>
      </x:c>
      <x:c r="R369" s="7" t="str">
        <x:v>DIG-P15</x:v>
      </x:c>
      <x:c r="S369" s="20" t="n">
        <x:v>2025</x:v>
      </x:c>
      <x:c r="T369" s="20" t="n">
        <x:v>7</x:v>
      </x:c>
      <x:c r="U369" s="7" t="str">
        <x:v>暦年・暦月</x:v>
      </x:c>
      <x:c r="V369" s="18" t="n">
        <x:v>45867</x:v>
      </x:c>
      <x:c r="W369" s="7" t="str">
        <x:v>SRC-dd614f096b</x:v>
      </x:c>
      <x:c r="X369" s="7" t="str"/>
      <x:c r="Y369" s="20" t="n">
        <x:v>362</x:v>
      </x:c>
      <x:c r="Z369" s="7" t="str"/>
      <x:c r="AA369" s="7" t="str"/>
      <x:c r="AB369" s="7" t="str"/>
    </x:row>
    <x:row r="370" ht="68.80000305175781" customHeight="1">
      <x:c r="A370" s="7" t="str">
        <x:v>2025年7月29日</x:v>
      </x:c>
      <x:c r="B370" s="7" t="str">
        <x:v>日</x:v>
      </x:c>
      <x:c r="C370" s="7" t="str">
        <x:v>DIG-C10</x:v>
      </x:c>
      <x:c r="D370" s="7" t="str">
        <x:v>福山市の緊急自動車位置情報・車両制御通信実証</x:v>
      </x:c>
      <x:c r="E370" s="7" t="str">
        <x:v>採択事業概要で緊急自動車位置情報/車両停止の計画を公開。</x:v>
      </x:c>
      <x:c r="F370" s="7" t="str">
        <x:v>選定と計画公表</x:v>
      </x:c>
      <x:c r="G370" s="7" t="str">
        <x:v>地域事例</x:v>
      </x:c>
      <x:c r="H370" s="7" t="str">
        <x:v>総務省
三菱総合研究所（事務局）
地域コンソーシアム
内閣府・総務省・デジタル庁等</x:v>
      </x:c>
      <x:c r="I370" s="7" t="str">
        <x:v>広島県福山市</x:v>
      </x:c>
      <x:c r="J370" s="7" t="str">
        <x:v>DIG-P15</x:v>
      </x:c>
      <x:c r="K370" s="18"/>
      <x:c r="L370" s="7" t="str">
        <x:v>2025-07-29ファイル名</x:v>
      </x:c>
      <x:c r="M370" s="18" t="n">
        <x:v>46326</x:v>
      </x:c>
      <x:c r="N370" s="7" t="str">
        <x:v>S032</x:v>
      </x:c>
      <x:c r="O370" s="7" t="str">
        <x:v>https://pubpjt.mri.co.jp/pjt_related/rcsad-info/eqghpc000000030i-att/20250729rcsad-info_gaiyou_hiroshima_fukuyama.pdf</x:v>
      </x:c>
      <x:c r="P370" s="7" t="str"/>
      <x:c r="Q370" s="7" t="str">
        <x:v>EV-7fd861610a2f</x:v>
      </x:c>
      <x:c r="R370" s="7" t="str">
        <x:v>DIG-C10</x:v>
      </x:c>
      <x:c r="S370" s="20" t="n">
        <x:v>2025</x:v>
      </x:c>
      <x:c r="T370" s="20" t="n">
        <x:v>7</x:v>
      </x:c>
      <x:c r="U370" s="7" t="str">
        <x:v>暦年・暦月</x:v>
      </x:c>
      <x:c r="V370" s="18" t="n">
        <x:v>45867</x:v>
      </x:c>
      <x:c r="W370" s="7" t="str">
        <x:v>SRC-d4dcb51510</x:v>
      </x:c>
      <x:c r="X370" s="7" t="str"/>
      <x:c r="Y370" s="20" t="n">
        <x:v>363</x:v>
      </x:c>
      <x:c r="Z370" s="7" t="str"/>
      <x:c r="AA370" s="7" t="str"/>
      <x:c r="AB370" s="7" t="str"/>
    </x:row>
    <x:row r="371" ht="40.400001525878906" customHeight="1">
      <x:c r="A371" s="7" t="str">
        <x:v>2025年7月29日</x:v>
      </x:c>
      <x:c r="B371" s="7" t="str">
        <x:v>日</x:v>
      </x:c>
      <x:c r="C371" s="7" t="str">
        <x:v>ENV-C12</x:v>
      </x:c>
      <x:c r="D371" s="7" t="str">
        <x:v>乗鞍高原・脱炭素先行地域の辞退</x:v>
      </x:c>
      <x:c r="E371" s="7" t="str">
        <x:v>市長提案説明で辞退が適当と判断、地域の脱炭素取組自体は継続方針</x:v>
      </x:c>
      <x:c r="F371" s="7" t="str">
        <x:v>辞退方針</x:v>
      </x:c>
      <x:c r="G371" s="7" t="str">
        <x:v>地域事例</x:v>
      </x:c>
      <x:c r="H371" s="7" t="str">
        <x:v>環境省</x:v>
      </x:c>
      <x:c r="I371" s="7" t="str">
        <x:v>長野県松本市</x:v>
      </x:c>
      <x:c r="J371" s="7" t="str">
        <x:v>ENV-P05</x:v>
      </x:c>
      <x:c r="K371" s="18" t="n">
        <x:v>45867</x:v>
      </x:c>
      <x:c r="L371" s="7" t="str">
        <x:v>2025-07-29</x:v>
      </x:c>
      <x:c r="M371" s="18" t="n">
        <x:v>46326</x:v>
      </x:c>
      <x:c r="N371" s="7" t="str">
        <x:v>S087</x:v>
      </x:c>
      <x:c r="O371" s="7" t="str">
        <x:v>https://www.city.matsumoto.nagano.jp/uploaded/attachment/114806.pdf</x:v>
      </x:c>
      <x:c r="P371" s="7" t="str"/>
      <x:c r="Q371" s="7" t="str">
        <x:v>EV-f8b9f771521d</x:v>
      </x:c>
      <x:c r="R371" s="7" t="str">
        <x:v>ENV-C12</x:v>
      </x:c>
      <x:c r="S371" s="20" t="n">
        <x:v>2025</x:v>
      </x:c>
      <x:c r="T371" s="20" t="n">
        <x:v>7</x:v>
      </x:c>
      <x:c r="U371" s="7" t="str">
        <x:v>暦年・暦月</x:v>
      </x:c>
      <x:c r="V371" s="18" t="n">
        <x:v>45867</x:v>
      </x:c>
      <x:c r="W371" s="7" t="str">
        <x:v>SRC-74282be904</x:v>
      </x:c>
      <x:c r="X371" s="7" t="str"/>
      <x:c r="Y371" s="20" t="n">
        <x:v>364</x:v>
      </x:c>
      <x:c r="Z371" s="7" t="str"/>
      <x:c r="AA371" s="7" t="str"/>
      <x:c r="AB371" s="7" t="str"/>
    </x:row>
    <x:row r="372" ht="40.400001525878906" customHeight="1">
      <x:c r="A372" s="7" t="str">
        <x:v>2025年7月30日</x:v>
      </x:c>
      <x:c r="B372" s="7" t="str">
        <x:v>日</x:v>
      </x:c>
      <x:c r="C372" s="7" t="str">
        <x:v>ENV-C12</x:v>
      </x:c>
      <x:c r="D372" s="7" t="str">
        <x:v>乗鞍高原・脱炭素先行地域の辞退</x:v>
      </x:c>
      <x:c r="E372" s="7" t="str">
        <x:v>物価・資金・期限等を理由に辞退方針</x:v>
      </x:c>
      <x:c r="F372" s="7" t="str">
        <x:v>辞退表明</x:v>
      </x:c>
      <x:c r="G372" s="7" t="str">
        <x:v>地域事例</x:v>
      </x:c>
      <x:c r="H372" s="7" t="str">
        <x:v>環境省</x:v>
      </x:c>
      <x:c r="I372" s="7" t="str">
        <x:v>長野県松本市</x:v>
      </x:c>
      <x:c r="J372" s="7" t="str">
        <x:v>ENV-P05</x:v>
      </x:c>
      <x:c r="K372" s="18" t="n">
        <x:v>45868</x:v>
      </x:c>
      <x:c r="L372" s="7" t="str">
        <x:v>2025-07-30</x:v>
      </x:c>
      <x:c r="M372" s="18" t="n">
        <x:v>46326</x:v>
      </x:c>
      <x:c r="N372" s="7" t="str">
        <x:v>S084</x:v>
      </x:c>
      <x:c r="O372" s="7" t="str">
        <x:v>https://www.city.matsumoto.nagano.jp/site/yokosomayorsoffice/178856.html</x:v>
      </x:c>
      <x:c r="P372" s="7" t="str"/>
      <x:c r="Q372" s="7" t="str">
        <x:v>EV-d1957f38ff76</x:v>
      </x:c>
      <x:c r="R372" s="7" t="str">
        <x:v>ENV-C12</x:v>
      </x:c>
      <x:c r="S372" s="20" t="n">
        <x:v>2025</x:v>
      </x:c>
      <x:c r="T372" s="20" t="n">
        <x:v>7</x:v>
      </x:c>
      <x:c r="U372" s="7" t="str">
        <x:v>暦年・暦月</x:v>
      </x:c>
      <x:c r="V372" s="18" t="n">
        <x:v>45868</x:v>
      </x:c>
      <x:c r="W372" s="7" t="str">
        <x:v>SRC-251a6bcb0a</x:v>
      </x:c>
      <x:c r="X372" s="7" t="str"/>
      <x:c r="Y372" s="20" t="n">
        <x:v>365</x:v>
      </x:c>
      <x:c r="Z372" s="7" t="str"/>
      <x:c r="AA372" s="7" t="str"/>
      <x:c r="AB372" s="7" t="str"/>
    </x:row>
    <x:row r="373" ht="30" customHeight="1">
      <x:c r="A373" s="7" t="str">
        <x:v>2025年8月1日</x:v>
      </x:c>
      <x:c r="B373" s="7" t="str">
        <x:v>日</x:v>
      </x:c>
      <x:c r="C373" s="7" t="str">
        <x:v>mlit_iyo</x:v>
      </x:c>
      <x:c r="D373" s="7" t="str">
        <x:v>双海地区自動運転バス</x:v>
      </x:c>
      <x:c r="E373" s="7" t="str">
        <x:v>当面運休開始</x:v>
      </x:c>
      <x:c r="F373" s="7" t="str">
        <x:v>休止</x:v>
      </x:c>
      <x:c r="G373" s="7" t="str">
        <x:v>地域事例</x:v>
      </x:c>
      <x:c r="H373" s="7" t="str">
        <x:v>国土交通省</x:v>
      </x:c>
      <x:c r="I373" s="7" t="str">
        <x:v>愛媛県伊予市</x:v>
      </x:c>
      <x:c r="J373" s="7" t="str">
        <x:v>av_support</x:v>
      </x:c>
      <x:c r="K373" s="18" t="n">
        <x:v>45861</x:v>
      </x:c>
      <x:c r="L373" s="7" t="str">
        <x:v>2025-07-23</x:v>
      </x:c>
      <x:c r="M373" s="18" t="n">
        <x:v>46326</x:v>
      </x:c>
      <x:c r="N373" s="7" t="str">
        <x:v>S070</x:v>
      </x:c>
      <x:c r="O373" s="7" t="str">
        <x:v>https://www.city.iyo.lg.jp/kikakuseisaku/jidouunten-kyushi.html</x:v>
      </x:c>
      <x:c r="P373" s="7" t="str"/>
      <x:c r="Q373" s="7" t="str">
        <x:v>EV-a92ad4258084</x:v>
      </x:c>
      <x:c r="R373" s="7" t="str">
        <x:v>mlit_iyo</x:v>
      </x:c>
      <x:c r="S373" s="20" t="n">
        <x:v>2025</x:v>
      </x:c>
      <x:c r="T373" s="20" t="n">
        <x:v>8</x:v>
      </x:c>
      <x:c r="U373" s="7" t="str">
        <x:v>暦年・暦月</x:v>
      </x:c>
      <x:c r="V373" s="18" t="n">
        <x:v>45870</x:v>
      </x:c>
      <x:c r="W373" s="7" t="str">
        <x:v>SRC-62e072869c</x:v>
      </x:c>
      <x:c r="X373" s="7" t="str"/>
      <x:c r="Y373" s="20" t="n">
        <x:v>366</x:v>
      </x:c>
      <x:c r="Z373" s="7" t="str"/>
      <x:c r="AA373" s="7" t="str"/>
      <x:c r="AB373" s="7" t="str"/>
    </x:row>
    <x:row r="374" ht="40.400001525878906" customHeight="1">
      <x:c r="A374" s="7" t="str">
        <x:v>2025年8月6日</x:v>
      </x:c>
      <x:c r="B374" s="7" t="str">
        <x:v>日</x:v>
      </x:c>
      <x:c r="C374" s="7" t="str">
        <x:v>meti_yasu</x:v>
      </x:c>
      <x:c r="D374" s="7" t="str">
        <x:v>ゴイッショやす</x:v>
      </x:c>
      <x:c r="E374" s="7" t="str">
        <x:v>職員業務変化を会議資料で報告</x:v>
      </x:c>
      <x:c r="F374" s="7" t="str">
        <x:v>継続</x:v>
      </x:c>
      <x:c r="G374" s="7" t="str">
        <x:v>地域事例</x:v>
      </x:c>
      <x:c r="H374" s="7" t="str">
        <x:v>経済産業省</x:v>
      </x:c>
      <x:c r="I374" s="7" t="str">
        <x:v>滋賀県野洲市</x:v>
      </x:c>
      <x:c r="J374" s="7" t="str">
        <x:v>smc</x:v>
      </x:c>
      <x:c r="K374" s="18" t="n">
        <x:v>45875</x:v>
      </x:c>
      <x:c r="L374" s="7" t="str">
        <x:v>2025-08-06</x:v>
      </x:c>
      <x:c r="M374" s="18" t="n">
        <x:v>46326</x:v>
      </x:c>
      <x:c r="N374" s="7" t="str">
        <x:v>S121</x:v>
      </x:c>
      <x:c r="O374" s="7" t="str">
        <x:v>https://www.city.yasu.lg.jp/material/files/group/68/shiryou2_20250806.pdf</x:v>
      </x:c>
      <x:c r="P374" s="7" t="str"/>
      <x:c r="Q374" s="7" t="str">
        <x:v>EV-8b4a9bd7cb28</x:v>
      </x:c>
      <x:c r="R374" s="7" t="str">
        <x:v>meti_yasu</x:v>
      </x:c>
      <x:c r="S374" s="20" t="n">
        <x:v>2025</x:v>
      </x:c>
      <x:c r="T374" s="20" t="n">
        <x:v>8</x:v>
      </x:c>
      <x:c r="U374" s="7" t="str">
        <x:v>暦年・暦月</x:v>
      </x:c>
      <x:c r="V374" s="18" t="n">
        <x:v>45875</x:v>
      </x:c>
      <x:c r="W374" s="7" t="str">
        <x:v>SRC-ee08c116a0</x:v>
      </x:c>
      <x:c r="X374" s="7" t="str"/>
      <x:c r="Y374" s="20" t="n">
        <x:v>367</x:v>
      </x:c>
      <x:c r="Z374" s="7" t="str"/>
      <x:c r="AA374" s="7" t="str"/>
      <x:c r="AB374" s="7" t="str"/>
    </x:row>
    <x:row r="375" ht="40.400001525878906" customHeight="1">
      <x:c r="A375" s="7" t="str">
        <x:v>2025年8月16日</x:v>
      </x:c>
      <x:c r="B375" s="7" t="str">
        <x:v>日</x:v>
      </x:c>
      <x:c r="C375" s="7" t="str">
        <x:v>meti_osaka_air</x:v>
      </x:c>
      <x:c r="D375" s="7" t="str">
        <x:v>大阪・関西万博の空域管理</x:v>
      </x:c>
      <x:c r="E375" s="7" t="str">
        <x:v>万博周辺実環境PoC</x:v>
      </x:c>
      <x:c r="F375" s="7" t="str">
        <x:v>実証</x:v>
      </x:c>
      <x:c r="G375" s="7" t="str">
        <x:v>地域事例</x:v>
      </x:c>
      <x:c r="H375" s="7" t="str">
        <x:v>経済産業省</x:v>
      </x:c>
      <x:c r="I375" s="7" t="str">
        <x:v>大阪府大阪市・万博会場周辺</x:v>
      </x:c>
      <x:c r="J375" s="7" t="str">
        <x:v>reamo</x:v>
      </x:c>
      <x:c r="K375" s="18" t="n">
        <x:v>46069</x:v>
      </x:c>
      <x:c r="L375" s="7" t="str">
        <x:v>2026-02-16</x:v>
      </x:c>
      <x:c r="M375" s="18" t="n">
        <x:v>46326</x:v>
      </x:c>
      <x:c r="N375" s="7" t="str">
        <x:v>S037</x:v>
      </x:c>
      <x:c r="O375" s="7" t="str">
        <x:v>https://reamo.nedo.go.jp/library/2026/03/03_JUIDA_Slides_260216.pdf</x:v>
      </x:c>
      <x:c r="P375" s="7" t="str"/>
      <x:c r="Q375" s="7" t="str">
        <x:v>EV-fd1263e7a6f6</x:v>
      </x:c>
      <x:c r="R375" s="7" t="str">
        <x:v>meti_osaka_air</x:v>
      </x:c>
      <x:c r="S375" s="20" t="n">
        <x:v>2025</x:v>
      </x:c>
      <x:c r="T375" s="20" t="n">
        <x:v>8</x:v>
      </x:c>
      <x:c r="U375" s="7" t="str">
        <x:v>暦年・暦月</x:v>
      </x:c>
      <x:c r="V375" s="18" t="n">
        <x:v>45885</x:v>
      </x:c>
      <x:c r="W375" s="7" t="str">
        <x:v>SRC-fc67d3588c</x:v>
      </x:c>
      <x:c r="X375" s="7" t="str"/>
      <x:c r="Y375" s="20" t="n">
        <x:v>368</x:v>
      </x:c>
      <x:c r="Z375" s="7" t="str"/>
      <x:c r="AA375" s="7" t="str"/>
      <x:c r="AB375" s="7" t="str"/>
    </x:row>
    <x:row r="376" ht="30" customHeight="1">
      <x:c r="A376" s="7" t="str">
        <x:v>2025年8月19日</x:v>
      </x:c>
      <x:c r="B376" s="7" t="str">
        <x:v>日</x:v>
      </x:c>
      <x:c r="C376" s="7" t="str">
        <x:v>mlit_unzen</x:v>
      </x:c>
      <x:c r="D376" s="7" t="str">
        <x:v>夜間余剰マイクロバスによるスポーツ送迎</x:v>
      </x:c>
      <x:c r="E376" s="7" t="str">
        <x:v>地域スポーツ送迎開始</x:v>
      </x:c>
      <x:c r="F376" s="7" t="str">
        <x:v>実証</x:v>
      </x:c>
      <x:c r="G376" s="7" t="str">
        <x:v>地域事例</x:v>
      </x:c>
      <x:c r="H376" s="7" t="str">
        <x:v>国土交通省</x:v>
      </x:c>
      <x:c r="I376" s="7" t="str">
        <x:v>長崎県雲仙市</x:v>
      </x:c>
      <x:c r="J376" s="7" t="str">
        <x:v>kyousou</x:v>
      </x:c>
      <x:c r="K376" s="18"/>
      <x:c r="L376" s="7" t="str">
        <x:v>FY2025</x:v>
      </x:c>
      <x:c r="M376" s="18" t="n">
        <x:v>46326</x:v>
      </x:c>
      <x:c r="N376" s="7" t="str">
        <x:v>S018</x:v>
      </x:c>
      <x:c r="O376" s="7" t="str">
        <x:v>https://kotsu-kuhaku.jp/adopter_7/kyoso/detail.php?CN=426573</x:v>
      </x:c>
      <x:c r="P376" s="7" t="str"/>
      <x:c r="Q376" s="7" t="str">
        <x:v>EV-c679440614ed</x:v>
      </x:c>
      <x:c r="R376" s="7" t="str">
        <x:v>mlit_unzen</x:v>
      </x:c>
      <x:c r="S376" s="20" t="n">
        <x:v>2025</x:v>
      </x:c>
      <x:c r="T376" s="20" t="n">
        <x:v>8</x:v>
      </x:c>
      <x:c r="U376" s="7" t="str">
        <x:v>暦年・暦月</x:v>
      </x:c>
      <x:c r="V376" s="18" t="n">
        <x:v>45888</x:v>
      </x:c>
      <x:c r="W376" s="7" t="str">
        <x:v>SRC-2553a76079</x:v>
      </x:c>
      <x:c r="X376" s="7" t="str"/>
      <x:c r="Y376" s="20" t="n">
        <x:v>369</x:v>
      </x:c>
      <x:c r="Z376" s="7" t="str"/>
      <x:c r="AA376" s="7" t="str"/>
      <x:c r="AB376" s="7" t="str"/>
    </x:row>
    <x:row r="377" ht="40.400001525878906" customHeight="1">
      <x:c r="A377" s="7" t="str">
        <x:v>2025年8月29日</x:v>
      </x:c>
      <x:c r="B377" s="7" t="str">
        <x:v>日</x:v>
      </x:c>
      <x:c r="C377" s="7" t="str">
        <x:v>meti_kashiwa</x:v>
      </x:c>
      <x:c r="D377" s="7" t="str">
        <x:v>柏の葉 L4路車協調</x:v>
      </x:c>
      <x:c r="E377" s="7" t="str">
        <x:v>走行環境条件付与</x:v>
      </x:c>
      <x:c r="F377" s="7" t="str">
        <x:v>認可</x:v>
      </x:c>
      <x:c r="G377" s="7" t="str">
        <x:v>地域事例</x:v>
      </x:c>
      <x:c r="H377" s="7" t="str">
        <x:v>経済産業省</x:v>
      </x:c>
      <x:c r="I377" s="7" t="str">
        <x:v>千葉県柏市</x:v>
      </x:c>
      <x:c r="J377" s="7" t="str">
        <x:v>roadl4</x:v>
      </x:c>
      <x:c r="K377" s="18" t="n">
        <x:v>46086</x:v>
      </x:c>
      <x:c r="L377" s="7" t="str">
        <x:v>2026-03-05</x:v>
      </x:c>
      <x:c r="M377" s="18" t="n">
        <x:v>46326</x:v>
      </x:c>
      <x:c r="N377" s="7" t="str">
        <x:v>S312</x:v>
      </x:c>
      <x:c r="O377" s="7" t="str">
        <x:v>https://www.road-to-the-l4.go.jp/publication/pdf/02-5_theme04_20260305.pdf</x:v>
      </x:c>
      <x:c r="P377" s="7" t="str"/>
      <x:c r="Q377" s="7" t="str">
        <x:v>EV-684d76336504</x:v>
      </x:c>
      <x:c r="R377" s="7" t="str">
        <x:v>meti_kashiwa</x:v>
      </x:c>
      <x:c r="S377" s="20" t="n">
        <x:v>2025</x:v>
      </x:c>
      <x:c r="T377" s="20" t="n">
        <x:v>8</x:v>
      </x:c>
      <x:c r="U377" s="7" t="str">
        <x:v>暦年・暦月</x:v>
      </x:c>
      <x:c r="V377" s="18" t="n">
        <x:v>45898</x:v>
      </x:c>
      <x:c r="W377" s="7" t="str">
        <x:v>SRC-71d58a8918</x:v>
      </x:c>
      <x:c r="X377" s="7" t="str"/>
      <x:c r="Y377" s="20" t="n">
        <x:v>370</x:v>
      </x:c>
      <x:c r="Z377" s="7" t="str"/>
      <x:c r="AA377" s="7" t="str"/>
      <x:c r="AB377" s="7" t="str"/>
    </x:row>
    <x:row r="378" ht="40.400001525878906" customHeight="1">
      <x:c r="A378" s="7" t="str">
        <x:v>2025年9月</x:v>
      </x:c>
      <x:c r="B378" s="7" t="str">
        <x:v>月</x:v>
      </x:c>
      <x:c r="C378" s="7" t="str">
        <x:v>meti_osaka_air</x:v>
      </x:c>
      <x:c r="D378" s="7" t="str">
        <x:v>大阪・関西万博の空域管理</x:v>
      </x:c>
      <x:c r="E378" s="7" t="str">
        <x:v>追加実環境検証</x:v>
      </x:c>
      <x:c r="F378" s="7" t="str">
        <x:v>実証</x:v>
      </x:c>
      <x:c r="G378" s="7" t="str">
        <x:v>地域事例</x:v>
      </x:c>
      <x:c r="H378" s="7" t="str">
        <x:v>経済産業省</x:v>
      </x:c>
      <x:c r="I378" s="7" t="str">
        <x:v>大阪府大阪市・万博会場周辺</x:v>
      </x:c>
      <x:c r="J378" s="7" t="str">
        <x:v>reamo</x:v>
      </x:c>
      <x:c r="K378" s="18" t="n">
        <x:v>46069</x:v>
      </x:c>
      <x:c r="L378" s="7" t="str">
        <x:v>2026-02-16</x:v>
      </x:c>
      <x:c r="M378" s="18" t="n">
        <x:v>46326</x:v>
      </x:c>
      <x:c r="N378" s="7" t="str">
        <x:v>S037</x:v>
      </x:c>
      <x:c r="O378" s="7" t="str">
        <x:v>https://reamo.nedo.go.jp/library/2026/03/03_JUIDA_Slides_260216.pdf</x:v>
      </x:c>
      <x:c r="P378" s="7" t="str"/>
      <x:c r="Q378" s="7" t="str">
        <x:v>EV-0bf0262c5a6f</x:v>
      </x:c>
      <x:c r="R378" s="7" t="str">
        <x:v>meti_osaka_air</x:v>
      </x:c>
      <x:c r="S378" s="20" t="n">
        <x:v>2025</x:v>
      </x:c>
      <x:c r="T378" s="20" t="n">
        <x:v>9</x:v>
      </x:c>
      <x:c r="U378" s="7" t="str">
        <x:v>暦年・暦月</x:v>
      </x:c>
      <x:c r="V378" s="18"/>
      <x:c r="W378" s="7" t="str">
        <x:v>SRC-fc67d3588c</x:v>
      </x:c>
      <x:c r="X378" s="7" t="str"/>
      <x:c r="Y378" s="20" t="n">
        <x:v>371</x:v>
      </x:c>
      <x:c r="Z378" s="7" t="str"/>
      <x:c r="AA378" s="7" t="str"/>
      <x:c r="AB378" s="7" t="str"/>
    </x:row>
    <x:row r="379" ht="68.80000305175781" customHeight="1">
      <x:c r="A379" s="7" t="str">
        <x:v>2025年9月1日</x:v>
      </x:c>
      <x:c r="B379" s="7" t="str">
        <x:v>日</x:v>
      </x:c>
      <x:c r="C379" s="7" t="str">
        <x:v>DIG-P13</x:v>
      </x:c>
      <x:c r="D379" s="7" t="str">
        <x:v>エリアデータ連携基盤・推奨モジュール・共同利用</x:v>
      </x:c>
      <x:c r="E379" s="7" t="str">
        <x:v>エリアデータ連携基盤共同利用ガイドブック第2版。費用・運営・個人認証/データ分離を検討。</x:v>
      </x:c>
      <x:c r="F379" s="7" t="str">
        <x:v>手引改訂</x:v>
      </x:c>
      <x:c r="G379" s="7" t="str">
        <x:v>政策制度</x:v>
      </x:c>
      <x:c r="H379" s="7" t="str">
        <x:v>デジタル庁
DSA
地方自治体・運営主体</x:v>
      </x:c>
      <x:c r="I379" s="7" t="str"/>
      <x:c r="J379" s="7" t="str">
        <x:v>DIG-P13</x:v>
      </x:c>
      <x:c r="K379" s="18" t="n">
        <x:v>45901</x:v>
      </x:c>
      <x:c r="L379" s="7" t="str">
        <x:v>2025-09-01</x:v>
      </x:c>
      <x:c r="M379" s="18" t="n">
        <x:v>46326</x:v>
      </x:c>
      <x:c r="N379" s="7" t="str">
        <x:v>S134</x:v>
      </x:c>
      <x:c r="O379" s="7" t="str">
        <x:v>https://www.digital.go.jp/assets/contents/node/basic_page/field_ref_resources/84c08375-e8c4-440f-8ef4-521a4a36ed9f/a87ac6b5/20250901_policies_digital-garden-city-nation_guideline-of-area-data-coordination-platform_02.pdf</x:v>
      </x:c>
      <x:c r="P379" s="7" t="str"/>
      <x:c r="Q379" s="7" t="str">
        <x:v>EV-4216437efe89</x:v>
      </x:c>
      <x:c r="R379" s="7" t="str">
        <x:v>DIG-P13</x:v>
      </x:c>
      <x:c r="S379" s="20" t="n">
        <x:v>2025</x:v>
      </x:c>
      <x:c r="T379" s="20" t="n">
        <x:v>9</x:v>
      </x:c>
      <x:c r="U379" s="7" t="str">
        <x:v>暦年・暦月</x:v>
      </x:c>
      <x:c r="V379" s="18" t="n">
        <x:v>45901</x:v>
      </x:c>
      <x:c r="W379" s="7" t="str">
        <x:v>SRC-9ab498aac5</x:v>
      </x:c>
      <x:c r="X379" s="7" t="str"/>
      <x:c r="Y379" s="20" t="n">
        <x:v>372</x:v>
      </x:c>
      <x:c r="Z379" s="7" t="str"/>
      <x:c r="AA379" s="7" t="str"/>
      <x:c r="AB379" s="7" t="str"/>
    </x:row>
    <x:row r="380" ht="30" customHeight="1">
      <x:c r="A380" s="7" t="str">
        <x:v>2025年9月11日</x:v>
      </x:c>
      <x:c r="B380" s="7" t="str">
        <x:v>日</x:v>
      </x:c>
      <x:c r="C380" s="7" t="str">
        <x:v>ENV-C12</x:v>
      </x:c>
      <x:c r="D380" s="7" t="str">
        <x:v>乗鞍高原・脱炭素先行地域の辞退</x:v>
      </x:c>
      <x:c r="E380" s="7" t="str">
        <x:v>選定辞退。環境省選定一覧でも日付を確認</x:v>
      </x:c>
      <x:c r="F380" s="7" t="str">
        <x:v>選定辞退</x:v>
      </x:c>
      <x:c r="G380" s="7" t="str">
        <x:v>地域事例</x:v>
      </x:c>
      <x:c r="H380" s="7" t="str">
        <x:v>環境省</x:v>
      </x:c>
      <x:c r="I380" s="7" t="str">
        <x:v>長野県松本市</x:v>
      </x:c>
      <x:c r="J380" s="7" t="str">
        <x:v>ENV-P05</x:v>
      </x:c>
      <x:c r="K380" s="18"/>
      <x:c r="L380" s="7" t="str"/>
      <x:c r="M380" s="18" t="n">
        <x:v>46326</x:v>
      </x:c>
      <x:c r="N380" s="7" t="str">
        <x:v>S027</x:v>
      </x:c>
      <x:c r="O380" s="7" t="str">
        <x:v>https://policies.env.go.jp/policy/roadmap/preceding-region/</x:v>
      </x:c>
      <x:c r="P380" s="7" t="str"/>
      <x:c r="Q380" s="7" t="str">
        <x:v>EV-0126c37d7e58</x:v>
      </x:c>
      <x:c r="R380" s="7" t="str">
        <x:v>ENV-C12</x:v>
      </x:c>
      <x:c r="S380" s="20" t="n">
        <x:v>2025</x:v>
      </x:c>
      <x:c r="T380" s="20" t="n">
        <x:v>9</x:v>
      </x:c>
      <x:c r="U380" s="7" t="str">
        <x:v>暦年・暦月</x:v>
      </x:c>
      <x:c r="V380" s="18" t="n">
        <x:v>45911</x:v>
      </x:c>
      <x:c r="W380" s="7" t="str">
        <x:v>SRC-96c044bd76</x:v>
      </x:c>
      <x:c r="X380" s="7" t="str"/>
      <x:c r="Y380" s="20" t="n">
        <x:v>373</x:v>
      </x:c>
      <x:c r="Z380" s="7" t="str"/>
      <x:c r="AA380" s="7" t="str"/>
      <x:c r="AB380" s="7" t="str"/>
    </x:row>
    <x:row r="381" ht="68.80000305175781" customHeight="1">
      <x:c r="A381" s="7" t="str">
        <x:v>2025年10月1日</x:v>
      </x:c>
      <x:c r="B381" s="7" t="str">
        <x:v>日</x:v>
      </x:c>
      <x:c r="C381" s="7" t="str">
        <x:v>DIG-C11</x:v>
      </x:c>
      <x:c r="D381" s="7" t="str">
        <x:v>チョイソコかりんちゃん</x:v>
      </x:c>
      <x:c r="E381" s="7" t="str">
        <x:v>本格運行開始。2026広報・予算説明で事後確認。</x:v>
      </x:c>
      <x:c r="F381" s="7" t="str">
        <x:v>サービス開始</x:v>
      </x:c>
      <x:c r="G381" s="7" t="str">
        <x:v>地域事例</x:v>
      </x:c>
      <x:c r="H381" s="7" t="str">
        <x:v>内閣官房・内閣府地方創生
デジタル庁（基盤・実装支援）
地方自治体
内閣府・総務省・デジタル庁等</x:v>
      </x:c>
      <x:c r="I381" s="7" t="str">
        <x:v>長野県諏訪市</x:v>
      </x:c>
      <x:c r="J381" s="7" t="str">
        <x:v>DIG-P12</x:v>
      </x:c>
      <x:c r="K381" s="18" t="str">
        <x:v>2026-01</x:v>
      </x:c>
      <x:c r="L381" s="7" t="str">
        <x:v>2026-01</x:v>
      </x:c>
      <x:c r="M381" s="18" t="n">
        <x:v>46326</x:v>
      </x:c>
      <x:c r="N381" s="7" t="str">
        <x:v>S114</x:v>
      </x:c>
      <x:c r="O381" s="7" t="str">
        <x:v>https://www.city.suwa.lg.jp/uploaded/attachment/49474.pdf</x:v>
      </x:c>
      <x:c r="P381" s="7" t="str"/>
      <x:c r="Q381" s="7" t="str">
        <x:v>EV-56934a162364</x:v>
      </x:c>
      <x:c r="R381" s="7" t="str">
        <x:v>DIG-C11</x:v>
      </x:c>
      <x:c r="S381" s="20" t="n">
        <x:v>2025</x:v>
      </x:c>
      <x:c r="T381" s="20" t="n">
        <x:v>10</x:v>
      </x:c>
      <x:c r="U381" s="7" t="str">
        <x:v>暦年・暦月</x:v>
      </x:c>
      <x:c r="V381" s="18" t="n">
        <x:v>45931</x:v>
      </x:c>
      <x:c r="W381" s="7" t="str">
        <x:v>SRC-eb055b1c2a</x:v>
      </x:c>
      <x:c r="X381" s="7" t="str"/>
      <x:c r="Y381" s="20" t="n">
        <x:v>374</x:v>
      </x:c>
      <x:c r="Z381" s="7" t="str"/>
      <x:c r="AA381" s="7" t="str"/>
      <x:c r="AB381" s="7" t="str"/>
    </x:row>
    <x:row r="382" ht="54.599998474121094" customHeight="1">
      <x:c r="A382" s="7" t="str">
        <x:v>2025年10月</x:v>
      </x:c>
      <x:c r="B382" s="7" t="str">
        <x:v>月</x:v>
      </x:c>
      <x:c r="C382" s="7" t="str">
        <x:v>DIG-P04</x:v>
      </x:c>
      <x:c r="D382" s="7" t="str">
        <x:v>SIP第3期 スマートモビリティプラットフォームの構築</x:v>
      </x:c>
      <x:c r="E382" s="7" t="str">
        <x:v>テーマ16の実施者表記がNEXT Logistics Japan（9月まで）から日野自動車（10月から）へ変更。</x:v>
      </x:c>
      <x:c r="F382" s="7" t="str">
        <x:v>主体変更</x:v>
      </x:c>
      <x:c r="G382" s="7" t="str">
        <x:v>政策制度</x:v>
      </x:c>
      <x:c r="H382" s="7" t="str">
        <x:v>内閣府CSTI
NEDO
経済産業省</x:v>
      </x:c>
      <x:c r="I382" s="7" t="str"/>
      <x:c r="J382" s="7" t="str">
        <x:v>DIG-P04</x:v>
      </x:c>
      <x:c r="K382" s="18"/>
      <x:c r="L382" s="7" t="str">
        <x:v>2025年度成果／2026-10-31閲覧</x:v>
      </x:c>
      <x:c r="M382" s="18" t="n">
        <x:v>46326</x:v>
      </x:c>
      <x:c r="N382" s="7" t="str">
        <x:v>S043</x:v>
      </x:c>
      <x:c r="O382" s="7" t="str">
        <x:v>https://sip3.nedo.go.jp/smartmobility/theme/16/index.html</x:v>
      </x:c>
      <x:c r="P382" s="7" t="str"/>
      <x:c r="Q382" s="7" t="str">
        <x:v>EV-6cd7082d994f</x:v>
      </x:c>
      <x:c r="R382" s="7" t="str">
        <x:v>DIG-P04</x:v>
      </x:c>
      <x:c r="S382" s="20" t="n">
        <x:v>2025</x:v>
      </x:c>
      <x:c r="T382" s="20" t="n">
        <x:v>10</x:v>
      </x:c>
      <x:c r="U382" s="7" t="str">
        <x:v>暦年・暦月</x:v>
      </x:c>
      <x:c r="V382" s="18"/>
      <x:c r="W382" s="7" t="str">
        <x:v>SRC-62046980c6</x:v>
      </x:c>
      <x:c r="X382" s="7" t="str"/>
      <x:c r="Y382" s="20" t="n">
        <x:v>375</x:v>
      </x:c>
      <x:c r="Z382" s="7" t="str"/>
      <x:c r="AA382" s="7" t="str"/>
      <x:c r="AB382" s="7" t="str"/>
    </x:row>
    <x:row r="383" ht="68.80000305175781" customHeight="1">
      <x:c r="A383" s="7" t="str">
        <x:v>2025年10月</x:v>
      </x:c>
      <x:c r="B383" s="7" t="str">
        <x:v>月</x:v>
      </x:c>
      <x:c r="C383" s="7" t="str">
        <x:v>DIG-C15</x:v>
      </x:c>
      <x:c r="D383" s="7" t="str">
        <x:v>西尾市のデジタチ・モビリティハブ・生活道路対策</x:v>
      </x:c>
      <x:c r="E383" s="7" t="str">
        <x:v>デジタチ実証を全市へ拡張。</x:v>
      </x:c>
      <x:c r="F383" s="7" t="str">
        <x:v>実証拡張</x:v>
      </x:c>
      <x:c r="G383" s="7" t="str">
        <x:v>地域事例</x:v>
      </x:c>
      <x:c r="H383" s="7" t="str">
        <x:v>内閣府CSTI
NEDO
経済産業省
内閣府・総務省・デジタル庁等</x:v>
      </x:c>
      <x:c r="I383" s="7" t="str">
        <x:v>愛知県西尾市吉良・幡豆地区</x:v>
      </x:c>
      <x:c r="J383" s="7" t="str">
        <x:v>DIG-P04</x:v>
      </x:c>
      <x:c r="K383" s="18"/>
      <x:c r="L383" s="7" t="str">
        <x:v>2026（FY2025報告）</x:v>
      </x:c>
      <x:c r="M383" s="18" t="n">
        <x:v>46326</x:v>
      </x:c>
      <x:c r="N383" s="7" t="str">
        <x:v>S047</x:v>
      </x:c>
      <x:c r="O383" s="7" t="str">
        <x:v>https://sip3.nedo.go.jp/smartmobility/upload/docs/fff151fc3abc36822d34b4009cbc88f664668456.pdf</x:v>
      </x:c>
      <x:c r="P383" s="7" t="str"/>
      <x:c r="Q383" s="7" t="str">
        <x:v>EV-d697610620b6</x:v>
      </x:c>
      <x:c r="R383" s="7" t="str">
        <x:v>DIG-C15</x:v>
      </x:c>
      <x:c r="S383" s="20" t="n">
        <x:v>2025</x:v>
      </x:c>
      <x:c r="T383" s="20" t="n">
        <x:v>10</x:v>
      </x:c>
      <x:c r="U383" s="7" t="str">
        <x:v>暦年・暦月</x:v>
      </x:c>
      <x:c r="V383" s="18"/>
      <x:c r="W383" s="7" t="str">
        <x:v>SRC-2441cac973</x:v>
      </x:c>
      <x:c r="X383" s="7" t="str"/>
      <x:c r="Y383" s="20" t="n">
        <x:v>376</x:v>
      </x:c>
      <x:c r="Z383" s="7" t="str"/>
      <x:c r="AA383" s="7" t="str"/>
      <x:c r="AB383" s="7" t="str"/>
    </x:row>
    <x:row r="384" ht="30" customHeight="1">
      <x:c r="A384" s="7" t="str">
        <x:v>2025年10月</x:v>
      </x:c>
      <x:c r="B384" s="7" t="str">
        <x:v>月</x:v>
      </x:c>
      <x:c r="C384" s="7" t="str">
        <x:v>mlit_hachinohe</x:v>
      </x:c>
      <x:c r="D384" s="7" t="str">
        <x:v>八戸圏域モビリティ人材育成</x:v>
      </x:c>
      <x:c r="E384" s="7" t="str">
        <x:v>学生ワークショップ開始</x:v>
      </x:c>
      <x:c r="F384" s="7" t="str">
        <x:v>能力開発</x:v>
      </x:c>
      <x:c r="G384" s="7" t="str">
        <x:v>地域事例</x:v>
      </x:c>
      <x:c r="H384" s="7" t="str">
        <x:v>国土交通省</x:v>
      </x:c>
      <x:c r="I384" s="7" t="str">
        <x:v>青森県八戸圏域8市町村</x:v>
      </x:c>
      <x:c r="J384" s="7" t="str">
        <x:v>human</x:v>
      </x:c>
      <x:c r="K384" s="18"/>
      <x:c r="L384" s="7" t="str">
        <x:v>FY2025</x:v>
      </x:c>
      <x:c r="M384" s="18" t="n">
        <x:v>46326</x:v>
      </x:c>
      <x:c r="N384" s="7" t="str">
        <x:v>S019</x:v>
      </x:c>
      <x:c r="O384" s="7" t="str">
        <x:v>https://kotsu-kuhaku.jp/adopter_7/mobi/detail.php?CN=426329</x:v>
      </x:c>
      <x:c r="P384" s="7" t="str"/>
      <x:c r="Q384" s="7" t="str">
        <x:v>EV-e83fd7c86ebb</x:v>
      </x:c>
      <x:c r="R384" s="7" t="str">
        <x:v>mlit_hachinohe</x:v>
      </x:c>
      <x:c r="S384" s="20" t="n">
        <x:v>2025</x:v>
      </x:c>
      <x:c r="T384" s="20" t="n">
        <x:v>10</x:v>
      </x:c>
      <x:c r="U384" s="7" t="str">
        <x:v>暦年・暦月</x:v>
      </x:c>
      <x:c r="V384" s="18"/>
      <x:c r="W384" s="7" t="str">
        <x:v>SRC-d89c42a8f3</x:v>
      </x:c>
      <x:c r="X384" s="7" t="str"/>
      <x:c r="Y384" s="20" t="n">
        <x:v>377</x:v>
      </x:c>
      <x:c r="Z384" s="7" t="str"/>
      <x:c r="AA384" s="7" t="str"/>
      <x:c r="AB384" s="7" t="str"/>
    </x:row>
    <x:row r="385" ht="40.400001525878906" customHeight="1">
      <x:c r="A385" s="7" t="str">
        <x:v>2025年10月</x:v>
      </x:c>
      <x:c r="B385" s="7" t="str">
        <x:v>月</x:v>
      </x:c>
      <x:c r="C385" s="7" t="str">
        <x:v>meti_osaka_air</x:v>
      </x:c>
      <x:c r="D385" s="7" t="str">
        <x:v>大阪・関西万博の空域管理</x:v>
      </x:c>
      <x:c r="E385" s="7" t="str">
        <x:v>追加実環境検証</x:v>
      </x:c>
      <x:c r="F385" s="7" t="str">
        <x:v>実証</x:v>
      </x:c>
      <x:c r="G385" s="7" t="str">
        <x:v>地域事例</x:v>
      </x:c>
      <x:c r="H385" s="7" t="str">
        <x:v>経済産業省</x:v>
      </x:c>
      <x:c r="I385" s="7" t="str">
        <x:v>大阪府大阪市・万博会場周辺</x:v>
      </x:c>
      <x:c r="J385" s="7" t="str">
        <x:v>reamo</x:v>
      </x:c>
      <x:c r="K385" s="18" t="n">
        <x:v>46069</x:v>
      </x:c>
      <x:c r="L385" s="7" t="str">
        <x:v>2026-02-16</x:v>
      </x:c>
      <x:c r="M385" s="18" t="n">
        <x:v>46326</x:v>
      </x:c>
      <x:c r="N385" s="7" t="str">
        <x:v>S037</x:v>
      </x:c>
      <x:c r="O385" s="7" t="str">
        <x:v>https://reamo.nedo.go.jp/library/2026/03/03_JUIDA_Slides_260216.pdf</x:v>
      </x:c>
      <x:c r="P385" s="7" t="str"/>
      <x:c r="Q385" s="7" t="str">
        <x:v>EV-fdccc61c9f42</x:v>
      </x:c>
      <x:c r="R385" s="7" t="str">
        <x:v>meti_osaka_air</x:v>
      </x:c>
      <x:c r="S385" s="20" t="n">
        <x:v>2025</x:v>
      </x:c>
      <x:c r="T385" s="20" t="n">
        <x:v>10</x:v>
      </x:c>
      <x:c r="U385" s="7" t="str">
        <x:v>暦年・暦月</x:v>
      </x:c>
      <x:c r="V385" s="18"/>
      <x:c r="W385" s="7" t="str">
        <x:v>SRC-fc67d3588c</x:v>
      </x:c>
      <x:c r="X385" s="7" t="str"/>
      <x:c r="Y385" s="20" t="n">
        <x:v>378</x:v>
      </x:c>
      <x:c r="Z385" s="7" t="str"/>
      <x:c r="AA385" s="7" t="str"/>
      <x:c r="AB385" s="7" t="str"/>
    </x:row>
    <x:row r="386" ht="30" customHeight="1">
      <x:c r="A386" s="7" t="str">
        <x:v>2025年10月6日</x:v>
      </x:c>
      <x:c r="B386" s="7" t="str">
        <x:v>日</x:v>
      </x:c>
      <x:c r="C386" s="7" t="str">
        <x:v>mlit_hiroshima</x:v>
      </x:c>
      <x:c r="D386" s="7" t="str">
        <x:v>高陽地区共同運行・車庫休憩所共同化</x:v>
      </x:c>
      <x:c r="E386" s="7" t="str">
        <x:v>共同運行等実証開始</x:v>
      </x:c>
      <x:c r="F386" s="7" t="str">
        <x:v>実証</x:v>
      </x:c>
      <x:c r="G386" s="7" t="str">
        <x:v>地域事例</x:v>
      </x:c>
      <x:c r="H386" s="7" t="str">
        <x:v>国土交通省</x:v>
      </x:c>
      <x:c r="I386" s="7" t="str">
        <x:v>広島県広島市高陽地区</x:v>
      </x:c>
      <x:c r="J386" s="7" t="str">
        <x:v>kyousou</x:v>
      </x:c>
      <x:c r="K386" s="18"/>
      <x:c r="L386" s="7" t="str">
        <x:v>FY2025</x:v>
      </x:c>
      <x:c r="M386" s="18" t="n">
        <x:v>46326</x:v>
      </x:c>
      <x:c r="N386" s="7" t="str">
        <x:v>S017</x:v>
      </x:c>
      <x:c r="O386" s="7" t="str">
        <x:v>https://kotsu-kuhaku.jp/adopter_7/kyoso/detail.php?CN=426571</x:v>
      </x:c>
      <x:c r="P386" s="7" t="str"/>
      <x:c r="Q386" s="7" t="str">
        <x:v>EV-032730491472</x:v>
      </x:c>
      <x:c r="R386" s="7" t="str">
        <x:v>mlit_hiroshima</x:v>
      </x:c>
      <x:c r="S386" s="20" t="n">
        <x:v>2025</x:v>
      </x:c>
      <x:c r="T386" s="20" t="n">
        <x:v>10</x:v>
      </x:c>
      <x:c r="U386" s="7" t="str">
        <x:v>暦年・暦月</x:v>
      </x:c>
      <x:c r="V386" s="18" t="n">
        <x:v>45936</x:v>
      </x:c>
      <x:c r="W386" s="7" t="str">
        <x:v>SRC-e1b6404c3c</x:v>
      </x:c>
      <x:c r="X386" s="7" t="str"/>
      <x:c r="Y386" s="20" t="n">
        <x:v>379</x:v>
      </x:c>
      <x:c r="Z386" s="7" t="str"/>
      <x:c r="AA386" s="7" t="str"/>
      <x:c r="AB386" s="7" t="str"/>
    </x:row>
    <x:row r="387" ht="30" customHeight="1">
      <x:c r="A387" s="7" t="str">
        <x:v>2025年10月10日</x:v>
      </x:c>
      <x:c r="B387" s="7" t="str">
        <x:v>日</x:v>
      </x:c>
      <x:c r="C387" s="7" t="str">
        <x:v>mlit_trucks</x:v>
      </x:c>
      <x:c r="D387" s="7" t="str">
        <x:v>幹線自動運転トラック実証4事業</x:v>
      </x:c>
      <x:c r="E387" s="7" t="str">
        <x:v>4事業に補助交付決定</x:v>
      </x:c>
      <x:c r="F387" s="7" t="str">
        <x:v>採択・交付</x:v>
      </x:c>
      <x:c r="G387" s="7" t="str">
        <x:v>地域事例</x:v>
      </x:c>
      <x:c r="H387" s="7" t="str">
        <x:v>国土交通省</x:v>
      </x:c>
      <x:c r="I387" s="7" t="str">
        <x:v>高速道路幹線物流ネットワーク</x:v>
      </x:c>
      <x:c r="J387" s="7" t="str">
        <x:v>truck_logistics</x:v>
      </x:c>
      <x:c r="K387" s="18" t="n">
        <x:v>45940</x:v>
      </x:c>
      <x:c r="L387" s="7" t="str">
        <x:v>2025-10-10</x:v>
      </x:c>
      <x:c r="M387" s="18" t="n">
        <x:v>46326</x:v>
      </x:c>
      <x:c r="N387" s="7" t="str">
        <x:v>S251</x:v>
      </x:c>
      <x:c r="O387" s="7" t="str">
        <x:v>https://www.mlit.go.jp/report/press/tokatsu01_hh_000949.html</x:v>
      </x:c>
      <x:c r="P387" s="7" t="str"/>
      <x:c r="Q387" s="7" t="str">
        <x:v>EV-35612090969c</x:v>
      </x:c>
      <x:c r="R387" s="7" t="str">
        <x:v>mlit_trucks</x:v>
      </x:c>
      <x:c r="S387" s="20" t="n">
        <x:v>2025</x:v>
      </x:c>
      <x:c r="T387" s="20" t="n">
        <x:v>10</x:v>
      </x:c>
      <x:c r="U387" s="7" t="str">
        <x:v>暦年・暦月</x:v>
      </x:c>
      <x:c r="V387" s="18" t="n">
        <x:v>45940</x:v>
      </x:c>
      <x:c r="W387" s="7" t="str">
        <x:v>SRC-f9fb175705</x:v>
      </x:c>
      <x:c r="X387" s="7" t="str"/>
      <x:c r="Y387" s="20" t="n">
        <x:v>380</x:v>
      </x:c>
      <x:c r="Z387" s="7" t="str"/>
      <x:c r="AA387" s="7" t="str"/>
      <x:c r="AB387" s="7" t="str"/>
    </x:row>
    <x:row r="388" ht="54.599998474121094" customHeight="1">
      <x:c r="A388" s="7" t="str">
        <x:v>2025年10月26日</x:v>
      </x:c>
      <x:c r="B388" s="7" t="str">
        <x:v>日</x:v>
      </x:c>
      <x:c r="C388" s="7" t="str">
        <x:v>meti_oita</x:v>
      </x:c>
      <x:c r="D388" s="7" t="str">
        <x:v>大分MaaS・九州MaaSへの接続</x:v>
      </x:c>
      <x:c r="E388" s="7" t="str">
        <x:v>対象空港きっぷのQR改札利用へ変更</x:v>
      </x:c>
      <x:c r="F388" s="7" t="str">
        <x:v>機能変更</x:v>
      </x:c>
      <x:c r="G388" s="7" t="str">
        <x:v>地域事例</x:v>
      </x:c>
      <x:c r="H388" s="7" t="str">
        <x:v>経済産業省</x:v>
      </x:c>
      <x:c r="I388" s="7" t="str">
        <x:v>大分県大分市・別府市等</x:v>
      </x:c>
      <x:c r="J388" s="7" t="str">
        <x:v>smc</x:v>
      </x:c>
      <x:c r="K388" s="18" t="n">
        <x:v>45954</x:v>
      </x:c>
      <x:c r="L388" s="7" t="str">
        <x:v>2025-10-24</x:v>
      </x:c>
      <x:c r="M388" s="18" t="n">
        <x:v>46326</x:v>
      </x:c>
      <x:c r="N388" s="7" t="str">
        <x:v>S185</x:v>
      </x:c>
      <x:c r="O388" s="7" t="str">
        <x:v>https://www.jrkyushu.co.jp/common/inc/news/newtopics/__icsFiles/afieldfile/2025/10/23/20251024_my_route_ticket_kitakyushu_Changes_to_usage_methods.pdf</x:v>
      </x:c>
      <x:c r="P388" s="7" t="str"/>
      <x:c r="Q388" s="7" t="str">
        <x:v>EV-eb79714610ff</x:v>
      </x:c>
      <x:c r="R388" s="7" t="str">
        <x:v>meti_oita</x:v>
      </x:c>
      <x:c r="S388" s="20" t="n">
        <x:v>2025</x:v>
      </x:c>
      <x:c r="T388" s="20" t="n">
        <x:v>10</x:v>
      </x:c>
      <x:c r="U388" s="7" t="str">
        <x:v>暦年・暦月</x:v>
      </x:c>
      <x:c r="V388" s="18" t="n">
        <x:v>45956</x:v>
      </x:c>
      <x:c r="W388" s="7" t="str">
        <x:v>SRC-d58b271b04</x:v>
      </x:c>
      <x:c r="X388" s="7" t="str"/>
      <x:c r="Y388" s="20" t="n">
        <x:v>381</x:v>
      </x:c>
      <x:c r="Z388" s="7" t="str"/>
      <x:c r="AA388" s="7" t="str"/>
      <x:c r="AB388" s="7" t="str"/>
    </x:row>
    <x:row r="389" ht="40.400001525878906" customHeight="1">
      <x:c r="A389" s="7" t="str">
        <x:v>2025年11月</x:v>
      </x:c>
      <x:c r="B389" s="7" t="str">
        <x:v>月</x:v>
      </x:c>
      <x:c r="C389" s="7" t="str">
        <x:v>mlit_okueigenji</x:v>
      </x:c>
      <x:c r="D389" s="7" t="str">
        <x:v>奥永源寺渓流の里 自動運転</x:v>
      </x:c>
      <x:c r="E389" s="7" t="str">
        <x:v>累計利用5850人の実績</x:v>
      </x:c>
      <x:c r="F389" s="7" t="str">
        <x:v>運行実績</x:v>
      </x:c>
      <x:c r="G389" s="7" t="str">
        <x:v>地域事例</x:v>
      </x:c>
      <x:c r="H389" s="7" t="str">
        <x:v>国土交通省近畿地方整備局
国土交通省</x:v>
      </x:c>
      <x:c r="I389" s="7" t="str">
        <x:v>滋賀県東近江市</x:v>
      </x:c>
      <x:c r="J389" s="7" t="str">
        <x:v>roadstation</x:v>
      </x:c>
      <x:c r="K389" s="18" t="str">
        <x:v>2025-12</x:v>
      </x:c>
      <x:c r="L389" s="7" t="str">
        <x:v>2025-12</x:v>
      </x:c>
      <x:c r="M389" s="18" t="n">
        <x:v>46326</x:v>
      </x:c>
      <x:c r="N389" s="7" t="str">
        <x:v>S193</x:v>
      </x:c>
      <x:c r="O389" s="7" t="str">
        <x:v>https://www.kkr.mlit.go.jp/road/dgmx/jidouunten/or2riv000001md9t-att/c9us5e00000aj7zp.pdf</x:v>
      </x:c>
      <x:c r="P389" s="7" t="str"/>
      <x:c r="Q389" s="7" t="str">
        <x:v>EV-3afe35f168b3</x:v>
      </x:c>
      <x:c r="R389" s="7" t="str">
        <x:v>mlit_okueigenji</x:v>
      </x:c>
      <x:c r="S389" s="20" t="n">
        <x:v>2025</x:v>
      </x:c>
      <x:c r="T389" s="20" t="n">
        <x:v>11</x:v>
      </x:c>
      <x:c r="U389" s="7" t="str">
        <x:v>暦年・暦月</x:v>
      </x:c>
      <x:c r="V389" s="18"/>
      <x:c r="W389" s="7" t="str">
        <x:v>SRC-6f5bff755a</x:v>
      </x:c>
      <x:c r="X389" s="7" t="str"/>
      <x:c r="Y389" s="20" t="n">
        <x:v>382</x:v>
      </x:c>
      <x:c r="Z389" s="7" t="str"/>
      <x:c r="AA389" s="7" t="str"/>
      <x:c r="AB389" s="7" t="str"/>
    </x:row>
    <x:row r="390" ht="68.80000305175781" customHeight="1">
      <x:c r="A390" s="7" t="str">
        <x:v>2025-11-08/2026-01-18</x:v>
      </x:c>
      <x:c r="B390" s="7" t="str">
        <x:v>期間</x:v>
      </x:c>
      <x:c r="C390" s="7" t="str">
        <x:v>DIG-C16</x:v>
      </x:c>
      <x:c r="D390" s="7" t="str">
        <x:v>養父市関宮：小さな拠点＋デマンド交通再編</x:v>
      </x:c>
      <x:c r="E390" s="7" t="str">
        <x:v>36運行日・2台で第3段階。177利用、40人、自治協代理予約40利用。</x:v>
      </x:c>
      <x:c r="F390" s="7" t="str">
        <x:v>第3次実証</x:v>
      </x:c>
      <x:c r="G390" s="7" t="str">
        <x:v>地域事例</x:v>
      </x:c>
      <x:c r="H390" s="7" t="str">
        <x:v>内閣府CSTI
NEDO
経済産業省
内閣府・総務省・デジタル庁等</x:v>
      </x:c>
      <x:c r="I390" s="7" t="str">
        <x:v>兵庫県養父市関宮地域</x:v>
      </x:c>
      <x:c r="J390" s="7" t="str">
        <x:v>DIG-P04</x:v>
      </x:c>
      <x:c r="K390" s="18" t="str">
        <x:v>2026-03</x:v>
      </x:c>
      <x:c r="L390" s="7" t="str">
        <x:v>2026-03</x:v>
      </x:c>
      <x:c r="M390" s="18" t="n">
        <x:v>46326</x:v>
      </x:c>
      <x:c r="N390" s="7" t="str">
        <x:v>S045</x:v>
      </x:c>
      <x:c r="O390" s="7" t="str">
        <x:v>https://sip3.nedo.go.jp/smartmobility/upload/docs/7650a0e5fb857f859b853f1d600af61154d13e30.pdf</x:v>
      </x:c>
      <x:c r="P390" s="7" t="str"/>
      <x:c r="Q390" s="7" t="str">
        <x:v>EV-0d165ce09e3d</x:v>
      </x:c>
      <x:c r="R390" s="7" t="str">
        <x:v>DIG-C16</x:v>
      </x:c>
      <x:c r="S390" s="20" t="n">
        <x:v>2025</x:v>
      </x:c>
      <x:c r="T390" s="20" t="n">
        <x:v>11</x:v>
      </x:c>
      <x:c r="U390" s="7" t="str">
        <x:v>暦年・暦月</x:v>
      </x:c>
      <x:c r="V390" s="18"/>
      <x:c r="W390" s="7" t="str">
        <x:v>SRC-f420e4751a</x:v>
      </x:c>
      <x:c r="X390" s="7" t="str"/>
      <x:c r="Y390" s="20" t="n">
        <x:v>383</x:v>
      </x:c>
      <x:c r="Z390" s="7" t="str"/>
      <x:c r="AA390" s="7" t="str"/>
      <x:c r="AB390" s="7" t="str"/>
    </x:row>
    <x:row r="391" ht="54.599998474121094" customHeight="1">
      <x:c r="A391" s="7" t="str">
        <x:v>2025年11月11日</x:v>
      </x:c>
      <x:c r="B391" s="7" t="str">
        <x:v>日</x:v>
      </x:c>
      <x:c r="C391" s="7" t="str">
        <x:v>DIG-P12</x:v>
      </x:c>
      <x:c r="D391" s="7" t="str">
        <x:v>デジタル田園都市国家構想と地方創生交付金の系列</x:v>
      </x:c>
      <x:c r="E391" s="7" t="str">
        <x:v>同本部廃止・地域未来戦略本部設置。</x:v>
      </x:c>
      <x:c r="F391" s="7" t="str">
        <x:v>体制再編</x:v>
      </x:c>
      <x:c r="G391" s="7" t="str">
        <x:v>政策制度</x:v>
      </x:c>
      <x:c r="H391" s="7" t="str">
        <x:v>内閣官房・内閣府地方創生
デジタル庁（基盤・実装支援）
地方自治体</x:v>
      </x:c>
      <x:c r="I391" s="7" t="str"/>
      <x:c r="J391" s="7" t="str">
        <x:v>DIG-P12</x:v>
      </x:c>
      <x:c r="K391" s="18" t="n">
        <x:v>46237</x:v>
      </x:c>
      <x:c r="L391" s="7" t="str">
        <x:v>2026-08-03</x:v>
      </x:c>
      <x:c r="M391" s="18" t="n">
        <x:v>46326</x:v>
      </x:c>
      <x:c r="N391" s="7" t="str">
        <x:v>S139</x:v>
      </x:c>
      <x:c r="O391" s="7" t="str">
        <x:v>https://www.digital.go.jp/policies/digital_garden_city_nation</x:v>
      </x:c>
      <x:c r="P391" s="7" t="str">
        <x:v>同一期間内の厳密な前後関係は日付精度により未確定</x:v>
      </x:c>
      <x:c r="Q391" s="7" t="str">
        <x:v>EV-3ee5f258a43d</x:v>
      </x:c>
      <x:c r="R391" s="7" t="str">
        <x:v>DIG-P12</x:v>
      </x:c>
      <x:c r="S391" s="20" t="n">
        <x:v>2025</x:v>
      </x:c>
      <x:c r="T391" s="20" t="n">
        <x:v>11</x:v>
      </x:c>
      <x:c r="U391" s="7" t="str">
        <x:v>暦年・暦月</x:v>
      </x:c>
      <x:c r="V391" s="18" t="n">
        <x:v>45972</x:v>
      </x:c>
      <x:c r="W391" s="7" t="str">
        <x:v>SRC-56d3235213</x:v>
      </x:c>
      <x:c r="X391" s="7" t="str"/>
      <x:c r="Y391" s="20" t="n">
        <x:v>384</x:v>
      </x:c>
      <x:c r="Z391" s="7" t="str"/>
      <x:c r="AA391" s="7" t="str"/>
      <x:c r="AB391" s="7" t="str"/>
    </x:row>
    <x:row r="392" ht="40.400001525878906" customHeight="1">
      <x:c r="A392" s="7" t="str">
        <x:v>2025年11月12日</x:v>
      </x:c>
      <x:c r="B392" s="7" t="str">
        <x:v>日</x:v>
      </x:c>
      <x:c r="C392" s="7" t="str">
        <x:v>meti_kashiwa</x:v>
      </x:c>
      <x:c r="D392" s="7" t="str">
        <x:v>柏の葉 L4路車協調</x:v>
      </x:c>
      <x:c r="E392" s="7" t="str">
        <x:v>特定自動運行許可</x:v>
      </x:c>
      <x:c r="F392" s="7" t="str">
        <x:v>認可</x:v>
      </x:c>
      <x:c r="G392" s="7" t="str">
        <x:v>地域事例</x:v>
      </x:c>
      <x:c r="H392" s="7" t="str">
        <x:v>経済産業省</x:v>
      </x:c>
      <x:c r="I392" s="7" t="str">
        <x:v>千葉県柏市</x:v>
      </x:c>
      <x:c r="J392" s="7" t="str">
        <x:v>roadl4</x:v>
      </x:c>
      <x:c r="K392" s="18" t="n">
        <x:v>46086</x:v>
      </x:c>
      <x:c r="L392" s="7" t="str">
        <x:v>2026-03-05</x:v>
      </x:c>
      <x:c r="M392" s="18" t="n">
        <x:v>46326</x:v>
      </x:c>
      <x:c r="N392" s="7" t="str">
        <x:v>S312</x:v>
      </x:c>
      <x:c r="O392" s="7" t="str">
        <x:v>https://www.road-to-the-l4.go.jp/publication/pdf/02-5_theme04_20260305.pdf</x:v>
      </x:c>
      <x:c r="P392" s="7" t="str"/>
      <x:c r="Q392" s="7" t="str">
        <x:v>EV-0bbc1c65f187</x:v>
      </x:c>
      <x:c r="R392" s="7" t="str">
        <x:v>meti_kashiwa</x:v>
      </x:c>
      <x:c r="S392" s="20" t="n">
        <x:v>2025</x:v>
      </x:c>
      <x:c r="T392" s="20" t="n">
        <x:v>11</x:v>
      </x:c>
      <x:c r="U392" s="7" t="str">
        <x:v>暦年・暦月</x:v>
      </x:c>
      <x:c r="V392" s="18" t="n">
        <x:v>45973</x:v>
      </x:c>
      <x:c r="W392" s="7" t="str">
        <x:v>SRC-71d58a8918</x:v>
      </x:c>
      <x:c r="X392" s="7" t="str"/>
      <x:c r="Y392" s="20" t="n">
        <x:v>385</x:v>
      </x:c>
      <x:c r="Z392" s="7" t="str"/>
      <x:c r="AA392" s="7" t="str"/>
      <x:c r="AB392" s="7" t="str"/>
    </x:row>
    <x:row r="393" ht="40.400001525878906" customHeight="1">
      <x:c r="A393" s="7" t="str">
        <x:v>2025年11月18日</x:v>
      </x:c>
      <x:c r="B393" s="7" t="str">
        <x:v>日</x:v>
      </x:c>
      <x:c r="C393" s="7" t="str">
        <x:v>mlit_conpas</x:v>
      </x:c>
      <x:c r="D393" s="7" t="str">
        <x:v>横浜港CONPAS</x:v>
      </x:c>
      <x:c r="E393" s="7" t="str">
        <x:v>本牧BC・D1・D4の試験運用告知</x:v>
      </x:c>
      <x:c r="F393" s="7" t="str">
        <x:v>別地区実証</x:v>
      </x:c>
      <x:c r="G393" s="7" t="str">
        <x:v>地域事例</x:v>
      </x:c>
      <x:c r="H393" s="7" t="str">
        <x:v>国土交通省港湾局・関東地方整備局
国土交通省</x:v>
      </x:c>
      <x:c r="I393" s="7" t="str">
        <x:v>神奈川県横浜港南本牧・本牧</x:v>
      </x:c>
      <x:c r="J393" s="7" t="str">
        <x:v>portdx</x:v>
      </x:c>
      <x:c r="K393" s="18" t="n">
        <x:v>45979</x:v>
      </x:c>
      <x:c r="L393" s="7" t="str">
        <x:v>2025-11-18</x:v>
      </x:c>
      <x:c r="M393" s="18" t="n">
        <x:v>46326</x:v>
      </x:c>
      <x:c r="N393" s="7" t="str">
        <x:v>S127</x:v>
      </x:c>
      <x:c r="O393" s="7" t="str">
        <x:v>https://www.cyber-port.net/ja/information/detail/218</x:v>
      </x:c>
      <x:c r="P393" s="7" t="str"/>
      <x:c r="Q393" s="7" t="str">
        <x:v>EV-4dce3261dcf6</x:v>
      </x:c>
      <x:c r="R393" s="7" t="str">
        <x:v>mlit_conpas</x:v>
      </x:c>
      <x:c r="S393" s="20" t="n">
        <x:v>2025</x:v>
      </x:c>
      <x:c r="T393" s="20" t="n">
        <x:v>11</x:v>
      </x:c>
      <x:c r="U393" s="7" t="str">
        <x:v>暦年・暦月</x:v>
      </x:c>
      <x:c r="V393" s="18" t="n">
        <x:v>45979</x:v>
      </x:c>
      <x:c r="W393" s="7" t="str">
        <x:v>SRC-20bc3a1de2</x:v>
      </x:c>
      <x:c r="X393" s="7" t="str"/>
      <x:c r="Y393" s="20" t="n">
        <x:v>386</x:v>
      </x:c>
      <x:c r="Z393" s="7" t="str"/>
      <x:c r="AA393" s="7" t="str"/>
      <x:c r="AB393" s="7" t="str"/>
    </x:row>
    <x:row r="394" ht="40.400001525878906" customHeight="1">
      <x:c r="A394" s="7" t="str">
        <x:v>2025年11月20日</x:v>
      </x:c>
      <x:c r="B394" s="7" t="str">
        <x:v>日</x:v>
      </x:c>
      <x:c r="C394" s="7" t="str">
        <x:v>meti_goto</x:v>
      </x:c>
      <x:c r="D394" s="7" t="str">
        <x:v>五島列島の医薬品ドローン</x:v>
      </x:c>
      <x:c r="E394" s="7" t="str">
        <x:v>新上五島でエリア単位L4実証</x:v>
      </x:c>
      <x:c r="F394" s="7" t="str">
        <x:v>実証</x:v>
      </x:c>
      <x:c r="G394" s="7" t="str">
        <x:v>地域事例</x:v>
      </x:c>
      <x:c r="H394" s="7" t="str">
        <x:v>経済産業省</x:v>
      </x:c>
      <x:c r="I394" s="7" t="str">
        <x:v>長崎県五島市・新上五島町等</x:v>
      </x:c>
      <x:c r="J394" s="7" t="str">
        <x:v>dress
reamo</x:v>
      </x:c>
      <x:c r="K394" s="18" t="n">
        <x:v>45987</x:v>
      </x:c>
      <x:c r="L394" s="7" t="str">
        <x:v>2025-11-26</x:v>
      </x:c>
      <x:c r="M394" s="18" t="n">
        <x:v>46326</x:v>
      </x:c>
      <x:c r="N394" s="7" t="str">
        <x:v>S306</x:v>
      </x:c>
      <x:c r="O394" s="7" t="str">
        <x:v>https://www.pref.nagasaki.jp/governor/speak/20251126.html</x:v>
      </x:c>
      <x:c r="P394" s="7" t="str"/>
      <x:c r="Q394" s="7" t="str">
        <x:v>EV-5e7bdaf2ab04</x:v>
      </x:c>
      <x:c r="R394" s="7" t="str">
        <x:v>meti_goto</x:v>
      </x:c>
      <x:c r="S394" s="20" t="n">
        <x:v>2025</x:v>
      </x:c>
      <x:c r="T394" s="20" t="n">
        <x:v>11</x:v>
      </x:c>
      <x:c r="U394" s="7" t="str">
        <x:v>暦年・暦月</x:v>
      </x:c>
      <x:c r="V394" s="18" t="n">
        <x:v>45981</x:v>
      </x:c>
      <x:c r="W394" s="7" t="str">
        <x:v>SRC-5f76068b50</x:v>
      </x:c>
      <x:c r="X394" s="7" t="str"/>
      <x:c r="Y394" s="20" t="n">
        <x:v>387</x:v>
      </x:c>
      <x:c r="Z394" s="7" t="str"/>
      <x:c r="AA394" s="7" t="str"/>
      <x:c r="AB394" s="7" t="str"/>
    </x:row>
    <x:row r="395" ht="40.400001525878906" customHeight="1">
      <x:c r="A395" s="7" t="str">
        <x:v>2025年11月30日</x:v>
      </x:c>
      <x:c r="B395" s="7" t="str">
        <x:v>日</x:v>
      </x:c>
      <x:c r="C395" s="7" t="str">
        <x:v>meti_eiheiji</x:v>
      </x:c>
      <x:c r="D395" s="7" t="str">
        <x:v>永平寺町 ZEN drive</x:v>
      </x:c>
      <x:c r="E395" s="7" t="str">
        <x:v>2025シーズン実績の集計終期</x:v>
      </x:c>
      <x:c r="F395" s="7" t="str">
        <x:v>運行実績</x:v>
      </x:c>
      <x:c r="G395" s="7" t="str">
        <x:v>地域事例</x:v>
      </x:c>
      <x:c r="H395" s="7" t="str">
        <x:v>経済産業省
横断検証（個別所管は資料参照）</x:v>
      </x:c>
      <x:c r="I395" s="7" t="str">
        <x:v>福井県永平寺町</x:v>
      </x:c>
      <x:c r="J395" s="7" t="str">
        <x:v>lastmile
roadl4</x:v>
      </x:c>
      <x:c r="K395" s="18" t="n">
        <x:v>46086</x:v>
      </x:c>
      <x:c r="L395" s="7" t="str">
        <x:v>2026-03-05</x:v>
      </x:c>
      <x:c r="M395" s="18" t="n">
        <x:v>46326</x:v>
      </x:c>
      <x:c r="N395" s="7" t="str">
        <x:v>S309</x:v>
      </x:c>
      <x:c r="O395" s="7" t="str">
        <x:v>https://www.road-to-the-l4.go.jp/publication/pdf/02-2_theme01_20260305.pdf</x:v>
      </x:c>
      <x:c r="P395" s="7" t="str"/>
      <x:c r="Q395" s="7" t="str">
        <x:v>EV-a52353802687</x:v>
      </x:c>
      <x:c r="R395" s="7" t="str">
        <x:v>meti_eiheiji</x:v>
      </x:c>
      <x:c r="S395" s="20" t="n">
        <x:v>2025</x:v>
      </x:c>
      <x:c r="T395" s="20" t="n">
        <x:v>11</x:v>
      </x:c>
      <x:c r="U395" s="7" t="str">
        <x:v>暦年・暦月</x:v>
      </x:c>
      <x:c r="V395" s="18" t="n">
        <x:v>45991</x:v>
      </x:c>
      <x:c r="W395" s="7" t="str">
        <x:v>SRC-3022c44cce</x:v>
      </x:c>
      <x:c r="X395" s="7" t="str"/>
      <x:c r="Y395" s="20" t="n">
        <x:v>388</x:v>
      </x:c>
      <x:c r="Z395" s="7" t="str"/>
      <x:c r="AA395" s="7" t="str"/>
      <x:c r="AB395" s="7" t="str"/>
    </x:row>
    <x:row r="396" ht="30" customHeight="1">
      <x:c r="A396" s="7" t="str">
        <x:v>2025年12月</x:v>
      </x:c>
      <x:c r="B396" s="7" t="str">
        <x:v>月</x:v>
      </x:c>
      <x:c r="C396" s="7" t="str">
        <x:v>mlit_hachinohe</x:v>
      </x:c>
      <x:c r="D396" s="7" t="str">
        <x:v>八戸圏域モビリティ人材育成</x:v>
      </x:c>
      <x:c r="E396" s="7" t="str">
        <x:v>研修・アンケート結果整理</x:v>
      </x:c>
      <x:c r="F396" s="7" t="str">
        <x:v>成果報告</x:v>
      </x:c>
      <x:c r="G396" s="7" t="str">
        <x:v>地域事例</x:v>
      </x:c>
      <x:c r="H396" s="7" t="str">
        <x:v>国土交通省</x:v>
      </x:c>
      <x:c r="I396" s="7" t="str">
        <x:v>青森県八戸圏域8市町村</x:v>
      </x:c>
      <x:c r="J396" s="7" t="str">
        <x:v>human</x:v>
      </x:c>
      <x:c r="K396" s="18"/>
      <x:c r="L396" s="7" t="str">
        <x:v>FY2025</x:v>
      </x:c>
      <x:c r="M396" s="18" t="n">
        <x:v>46326</x:v>
      </x:c>
      <x:c r="N396" s="7" t="str">
        <x:v>S019</x:v>
      </x:c>
      <x:c r="O396" s="7" t="str">
        <x:v>https://kotsu-kuhaku.jp/adopter_7/mobi/detail.php?CN=426329</x:v>
      </x:c>
      <x:c r="P396" s="7" t="str"/>
      <x:c r="Q396" s="7" t="str">
        <x:v>EV-10a7c325ea2a</x:v>
      </x:c>
      <x:c r="R396" s="7" t="str">
        <x:v>mlit_hachinohe</x:v>
      </x:c>
      <x:c r="S396" s="20" t="n">
        <x:v>2025</x:v>
      </x:c>
      <x:c r="T396" s="20" t="n">
        <x:v>12</x:v>
      </x:c>
      <x:c r="U396" s="7" t="str">
        <x:v>暦年・暦月</x:v>
      </x:c>
      <x:c r="V396" s="18"/>
      <x:c r="W396" s="7" t="str">
        <x:v>SRC-d89c42a8f3</x:v>
      </x:c>
      <x:c r="X396" s="7" t="str"/>
      <x:c r="Y396" s="20" t="n">
        <x:v>389</x:v>
      </x:c>
      <x:c r="Z396" s="7" t="str"/>
      <x:c r="AA396" s="7" t="str"/>
      <x:c r="AB396" s="7" t="str"/>
    </x:row>
    <x:row r="397" ht="30" customHeight="1">
      <x:c r="A397" s="7" t="str">
        <x:v>2025年12月1日</x:v>
      </x:c>
      <x:c r="B397" s="7" t="str">
        <x:v>日</x:v>
      </x:c>
      <x:c r="C397" s="7" t="str">
        <x:v>mlit_murakami</x:v>
      </x:c>
      <x:c r="D397" s="7" t="str">
        <x:v>山北徳新会病院車両の公共ライドシェア活用</x:v>
      </x:c>
      <x:c r="E397" s="7" t="str">
        <x:v>病院車両活用実証開始</x:v>
      </x:c>
      <x:c r="F397" s="7" t="str">
        <x:v>実証</x:v>
      </x:c>
      <x:c r="G397" s="7" t="str">
        <x:v>地域事例</x:v>
      </x:c>
      <x:c r="H397" s="7" t="str">
        <x:v>国土交通省</x:v>
      </x:c>
      <x:c r="I397" s="7" t="str">
        <x:v>新潟県村上市山北地区</x:v>
      </x:c>
      <x:c r="J397" s="7" t="str"/>
      <x:c r="K397" s="18"/>
      <x:c r="L397" s="7" t="str">
        <x:v>FY2025</x:v>
      </x:c>
      <x:c r="M397" s="18" t="n">
        <x:v>46326</x:v>
      </x:c>
      <x:c r="N397" s="7" t="str">
        <x:v>S016</x:v>
      </x:c>
      <x:c r="O397" s="7" t="str">
        <x:v>https://kotsu-kuhaku.jp/adopter_7/kotsu/detail.php?CN=426566</x:v>
      </x:c>
      <x:c r="P397" s="7" t="str"/>
      <x:c r="Q397" s="7" t="str">
        <x:v>EV-99aea49105b4</x:v>
      </x:c>
      <x:c r="R397" s="7" t="str">
        <x:v>mlit_murakami</x:v>
      </x:c>
      <x:c r="S397" s="20" t="n">
        <x:v>2025</x:v>
      </x:c>
      <x:c r="T397" s="20" t="n">
        <x:v>12</x:v>
      </x:c>
      <x:c r="U397" s="7" t="str">
        <x:v>暦年・暦月</x:v>
      </x:c>
      <x:c r="V397" s="18" t="n">
        <x:v>45992</x:v>
      </x:c>
      <x:c r="W397" s="7" t="str">
        <x:v>SRC-84b979ac9d</x:v>
      </x:c>
      <x:c r="X397" s="7" t="str"/>
      <x:c r="Y397" s="20" t="n">
        <x:v>390</x:v>
      </x:c>
      <x:c r="Z397" s="7" t="str"/>
      <x:c r="AA397" s="7" t="str"/>
      <x:c r="AB397" s="7" t="str"/>
    </x:row>
    <x:row r="398" ht="40.400001525878906" customHeight="1">
      <x:c r="A398" s="7" t="str">
        <x:v>2025年12月9日</x:v>
      </x:c>
      <x:c r="B398" s="7" t="str">
        <x:v>日</x:v>
      </x:c>
      <x:c r="C398" s="7" t="str">
        <x:v>meti_kashiwa</x:v>
      </x:c>
      <x:c r="D398" s="7" t="str">
        <x:v>柏の葉 L4路車協調</x:v>
      </x:c>
      <x:c r="E398" s="7" t="str">
        <x:v>特定自動運行旅客運送認可</x:v>
      </x:c>
      <x:c r="F398" s="7" t="str">
        <x:v>認可</x:v>
      </x:c>
      <x:c r="G398" s="7" t="str">
        <x:v>地域事例</x:v>
      </x:c>
      <x:c r="H398" s="7" t="str">
        <x:v>経済産業省</x:v>
      </x:c>
      <x:c r="I398" s="7" t="str">
        <x:v>千葉県柏市</x:v>
      </x:c>
      <x:c r="J398" s="7" t="str">
        <x:v>roadl4</x:v>
      </x:c>
      <x:c r="K398" s="18" t="n">
        <x:v>46086</x:v>
      </x:c>
      <x:c r="L398" s="7" t="str">
        <x:v>2026-03-05</x:v>
      </x:c>
      <x:c r="M398" s="18" t="n">
        <x:v>46326</x:v>
      </x:c>
      <x:c r="N398" s="7" t="str">
        <x:v>S312</x:v>
      </x:c>
      <x:c r="O398" s="7" t="str">
        <x:v>https://www.road-to-the-l4.go.jp/publication/pdf/02-5_theme04_20260305.pdf</x:v>
      </x:c>
      <x:c r="P398" s="7" t="str"/>
      <x:c r="Q398" s="7" t="str">
        <x:v>EV-139e9335a022</x:v>
      </x:c>
      <x:c r="R398" s="7" t="str">
        <x:v>meti_kashiwa</x:v>
      </x:c>
      <x:c r="S398" s="20" t="n">
        <x:v>2025</x:v>
      </x:c>
      <x:c r="T398" s="20" t="n">
        <x:v>12</x:v>
      </x:c>
      <x:c r="U398" s="7" t="str">
        <x:v>暦年・暦月</x:v>
      </x:c>
      <x:c r="V398" s="18" t="n">
        <x:v>46000</x:v>
      </x:c>
      <x:c r="W398" s="7" t="str">
        <x:v>SRC-71d58a8918</x:v>
      </x:c>
      <x:c r="X398" s="7" t="str"/>
      <x:c r="Y398" s="20" t="n">
        <x:v>391</x:v>
      </x:c>
      <x:c r="Z398" s="7" t="str"/>
      <x:c r="AA398" s="7" t="str"/>
      <x:c r="AB398" s="7" t="str"/>
    </x:row>
    <x:row r="399" ht="54.599998474121094" customHeight="1">
      <x:c r="A399" s="7" t="str">
        <x:v>2025年12月23日</x:v>
      </x:c>
      <x:c r="B399" s="7" t="str">
        <x:v>日</x:v>
      </x:c>
      <x:c r="C399" s="7" t="str">
        <x:v>DIG-P11</x:v>
      </x:c>
      <x:c r="D399" s="7" t="str">
        <x:v>自動運転社会実装先行的事業化地域事業</x:v>
      </x:c>
      <x:c r="E399" s="7" t="str">
        <x:v>先行的事業化地域の公募開始、締切2026-01-23。</x:v>
      </x:c>
      <x:c r="F399" s="7" t="str">
        <x:v>公募</x:v>
      </x:c>
      <x:c r="G399" s="7" t="str">
        <x:v>政策制度</x:v>
      </x:c>
      <x:c r="H399" s="7" t="str">
        <x:v>デジタル庁
関係府省庁
地方自治体</x:v>
      </x:c>
      <x:c r="I399" s="7" t="str"/>
      <x:c r="J399" s="7" t="str">
        <x:v>DIG-P11</x:v>
      </x:c>
      <x:c r="K399" s="18" t="n">
        <x:v>46087</x:v>
      </x:c>
      <x:c r="L399" s="7" t="str">
        <x:v>2026-03-06</x:v>
      </x:c>
      <x:c r="M399" s="18" t="n">
        <x:v>46326</x:v>
      </x:c>
      <x:c r="N399" s="7" t="str">
        <x:v>S142</x:v>
      </x:c>
      <x:c r="O399" s="7" t="str">
        <x:v>https://www.digital.go.jp/policies/mobility/a71c2b0b-0506-43de-b7f8-2cb20172752a</x:v>
      </x:c>
      <x:c r="P399" s="7" t="str"/>
      <x:c r="Q399" s="7" t="str">
        <x:v>EV-ae3569cf33d1</x:v>
      </x:c>
      <x:c r="R399" s="7" t="str">
        <x:v>DIG-P11</x:v>
      </x:c>
      <x:c r="S399" s="20" t="n">
        <x:v>2025</x:v>
      </x:c>
      <x:c r="T399" s="20" t="n">
        <x:v>12</x:v>
      </x:c>
      <x:c r="U399" s="7" t="str">
        <x:v>暦年・暦月</x:v>
      </x:c>
      <x:c r="V399" s="18" t="n">
        <x:v>46014</x:v>
      </x:c>
      <x:c r="W399" s="7" t="str">
        <x:v>SRC-91022ef486</x:v>
      </x:c>
      <x:c r="X399" s="7" t="str"/>
      <x:c r="Y399" s="20" t="n">
        <x:v>392</x:v>
      </x:c>
      <x:c r="Z399" s="7" t="str"/>
      <x:c r="AA399" s="7" t="str"/>
      <x:c r="AB399" s="7" t="str"/>
    </x:row>
    <x:row r="400" ht="30" customHeight="1">
      <x:c r="A400" s="7" t="str">
        <x:v>2025年12月28日</x:v>
      </x:c>
      <x:c r="B400" s="7" t="str">
        <x:v>日</x:v>
      </x:c>
      <x:c r="C400" s="7" t="str">
        <x:v>mlit_unzen</x:v>
      </x:c>
      <x:c r="D400" s="7" t="str">
        <x:v>夜間余剰マイクロバスによるスポーツ送迎</x:v>
      </x:c>
      <x:c r="E400" s="7" t="str">
        <x:v>60日観測結果、保護者削減推計</x:v>
      </x:c>
      <x:c r="F400" s="7" t="str">
        <x:v>途中成果</x:v>
      </x:c>
      <x:c r="G400" s="7" t="str">
        <x:v>地域事例</x:v>
      </x:c>
      <x:c r="H400" s="7" t="str">
        <x:v>国土交通省</x:v>
      </x:c>
      <x:c r="I400" s="7" t="str">
        <x:v>長崎県雲仙市</x:v>
      </x:c>
      <x:c r="J400" s="7" t="str">
        <x:v>kyousou</x:v>
      </x:c>
      <x:c r="K400" s="18"/>
      <x:c r="L400" s="7" t="str">
        <x:v>FY2025</x:v>
      </x:c>
      <x:c r="M400" s="18" t="n">
        <x:v>46326</x:v>
      </x:c>
      <x:c r="N400" s="7" t="str">
        <x:v>S018</x:v>
      </x:c>
      <x:c r="O400" s="7" t="str">
        <x:v>https://kotsu-kuhaku.jp/adopter_7/kyoso/detail.php?CN=426573</x:v>
      </x:c>
      <x:c r="P400" s="7" t="str"/>
      <x:c r="Q400" s="7" t="str">
        <x:v>EV-88c6984199db</x:v>
      </x:c>
      <x:c r="R400" s="7" t="str">
        <x:v>mlit_unzen</x:v>
      </x:c>
      <x:c r="S400" s="20" t="n">
        <x:v>2025</x:v>
      </x:c>
      <x:c r="T400" s="20" t="n">
        <x:v>12</x:v>
      </x:c>
      <x:c r="U400" s="7" t="str">
        <x:v>暦年・暦月</x:v>
      </x:c>
      <x:c r="V400" s="18" t="n">
        <x:v>46019</x:v>
      </x:c>
      <x:c r="W400" s="7" t="str">
        <x:v>SRC-2553a76079</x:v>
      </x:c>
      <x:c r="X400" s="7" t="str"/>
      <x:c r="Y400" s="20" t="n">
        <x:v>393</x:v>
      </x:c>
      <x:c r="Z400" s="7" t="str"/>
      <x:c r="AA400" s="7" t="str"/>
      <x:c r="AB400" s="7" t="str"/>
    </x:row>
    <x:row r="401" ht="30" customHeight="1">
      <x:c r="A401" s="7" t="str">
        <x:v>2025年12月30日</x:v>
      </x:c>
      <x:c r="B401" s="7" t="str">
        <x:v>日</x:v>
      </x:c>
      <x:c r="C401" s="7" t="str">
        <x:v>mlit_hiroshima</x:v>
      </x:c>
      <x:c r="D401" s="7" t="str">
        <x:v>高陽地区共同運行・車庫休憩所共同化</x:v>
      </x:c>
      <x:c r="E401" s="7" t="str">
        <x:v>実証期間終期、実績整理</x:v>
      </x:c>
      <x:c r="F401" s="7" t="str">
        <x:v>成果報告</x:v>
      </x:c>
      <x:c r="G401" s="7" t="str">
        <x:v>地域事例</x:v>
      </x:c>
      <x:c r="H401" s="7" t="str">
        <x:v>国土交通省</x:v>
      </x:c>
      <x:c r="I401" s="7" t="str">
        <x:v>広島県広島市高陽地区</x:v>
      </x:c>
      <x:c r="J401" s="7" t="str">
        <x:v>kyousou</x:v>
      </x:c>
      <x:c r="K401" s="18"/>
      <x:c r="L401" s="7" t="str">
        <x:v>FY2025</x:v>
      </x:c>
      <x:c r="M401" s="18" t="n">
        <x:v>46326</x:v>
      </x:c>
      <x:c r="N401" s="7" t="str">
        <x:v>S017</x:v>
      </x:c>
      <x:c r="O401" s="7" t="str">
        <x:v>https://kotsu-kuhaku.jp/adopter_7/kyoso/detail.php?CN=426571</x:v>
      </x:c>
      <x:c r="P401" s="7" t="str"/>
      <x:c r="Q401" s="7" t="str">
        <x:v>EV-cbf8412444e9</x:v>
      </x:c>
      <x:c r="R401" s="7" t="str">
        <x:v>mlit_hiroshima</x:v>
      </x:c>
      <x:c r="S401" s="20" t="n">
        <x:v>2025</x:v>
      </x:c>
      <x:c r="T401" s="20" t="n">
        <x:v>12</x:v>
      </x:c>
      <x:c r="U401" s="7" t="str">
        <x:v>暦年・暦月</x:v>
      </x:c>
      <x:c r="V401" s="18" t="n">
        <x:v>46021</x:v>
      </x:c>
      <x:c r="W401" s="7" t="str">
        <x:v>SRC-e1b6404c3c</x:v>
      </x:c>
      <x:c r="X401" s="7" t="str"/>
      <x:c r="Y401" s="20" t="n">
        <x:v>394</x:v>
      </x:c>
      <x:c r="Z401" s="7" t="str"/>
      <x:c r="AA401" s="7" t="str"/>
      <x:c r="AB401" s="7" t="str"/>
    </x:row>
    <x:row r="402" ht="40.400001525878906" customHeight="1">
      <x:c r="A402" s="7" t="str">
        <x:v>2026年</x:v>
      </x:c>
      <x:c r="B402" s="7" t="str">
        <x:v>年</x:v>
      </x:c>
      <x:c r="C402" s="7" t="str">
        <x:v>mlit_iinan</x:v>
      </x:c>
      <x:c r="D402" s="7" t="str">
        <x:v>赤来高原・赤名地区 自動運転赤名線</x:v>
      </x:c>
      <x:c r="E402" s="7" t="str">
        <x:v>新計画で休止状態とイベント等活用研究を明記</x:v>
      </x:c>
      <x:c r="F402" s="7" t="str">
        <x:v>休止・再設計</x:v>
      </x:c>
      <x:c r="G402" s="7" t="str">
        <x:v>地域事例</x:v>
      </x:c>
      <x:c r="H402" s="7" t="str">
        <x:v>国土交通省・SIP
国土交通省</x:v>
      </x:c>
      <x:c r="I402" s="7" t="str">
        <x:v>島根県飯南町</x:v>
      </x:c>
      <x:c r="J402" s="7" t="str">
        <x:v>roadstation</x:v>
      </x:c>
      <x:c r="K402" s="18" t="str">
        <x:v>2026</x:v>
      </x:c>
      <x:c r="L402" s="7" t="str">
        <x:v>2026</x:v>
      </x:c>
      <x:c r="M402" s="18" t="n">
        <x:v>46326</x:v>
      </x:c>
      <x:c r="N402" s="7" t="str">
        <x:v>S178</x:v>
      </x:c>
      <x:c r="O402" s="7" t="str">
        <x:v>https://www.iinan.jp/uploaded/attachment/7631.pdf</x:v>
      </x:c>
      <x:c r="P402" s="7" t="str"/>
      <x:c r="Q402" s="7" t="str">
        <x:v>EV-081dbdc997f5</x:v>
      </x:c>
      <x:c r="R402" s="7" t="str">
        <x:v>mlit_iinan</x:v>
      </x:c>
      <x:c r="S402" s="20" t="n">
        <x:v>2026</x:v>
      </x:c>
      <x:c r="T402" s="20" t="n">
        <x:v>1</x:v>
      </x:c>
      <x:c r="U402" s="7" t="str">
        <x:v>暦年・暦月</x:v>
      </x:c>
      <x:c r="V402" s="18"/>
      <x:c r="W402" s="7" t="str">
        <x:v>SRC-e3e51bf75a</x:v>
      </x:c>
      <x:c r="X402" s="7" t="str"/>
      <x:c r="Y402" s="20" t="n">
        <x:v>395</x:v>
      </x:c>
      <x:c r="Z402" s="7" t="str"/>
      <x:c r="AA402" s="7" t="str"/>
      <x:c r="AB402" s="7" t="str"/>
    </x:row>
    <x:row r="403" ht="30" customHeight="1">
      <x:c r="A403" s="7" t="str">
        <x:v>2026年</x:v>
      </x:c>
      <x:c r="B403" s="7" t="str">
        <x:v>年</x:v>
      </x:c>
      <x:c r="C403" s="7" t="str">
        <x:v>mlit_hiroshima</x:v>
      </x:c>
      <x:c r="D403" s="7" t="str">
        <x:v>高陽地区共同運行・車庫休憩所共同化</x:v>
      </x:c>
      <x:c r="E403" s="7" t="str">
        <x:v>接続・ダイヤ再検討方針</x:v>
      </x:c>
      <x:c r="F403" s="7" t="str">
        <x:v>変更検討</x:v>
      </x:c>
      <x:c r="G403" s="7" t="str">
        <x:v>地域事例</x:v>
      </x:c>
      <x:c r="H403" s="7" t="str">
        <x:v>国土交通省</x:v>
      </x:c>
      <x:c r="I403" s="7" t="str">
        <x:v>広島県広島市高陽地区</x:v>
      </x:c>
      <x:c r="J403" s="7" t="str">
        <x:v>kyousou</x:v>
      </x:c>
      <x:c r="K403" s="18"/>
      <x:c r="L403" s="7" t="str">
        <x:v>FY2025</x:v>
      </x:c>
      <x:c r="M403" s="18" t="n">
        <x:v>46326</x:v>
      </x:c>
      <x:c r="N403" s="7" t="str">
        <x:v>S017</x:v>
      </x:c>
      <x:c r="O403" s="7" t="str">
        <x:v>https://kotsu-kuhaku.jp/adopter_7/kyoso/detail.php?CN=426571</x:v>
      </x:c>
      <x:c r="P403" s="7" t="str"/>
      <x:c r="Q403" s="7" t="str">
        <x:v>EV-082f80fd68c3</x:v>
      </x:c>
      <x:c r="R403" s="7" t="str">
        <x:v>mlit_hiroshima</x:v>
      </x:c>
      <x:c r="S403" s="20" t="n">
        <x:v>2026</x:v>
      </x:c>
      <x:c r="T403" s="20" t="n">
        <x:v>1</x:v>
      </x:c>
      <x:c r="U403" s="7" t="str">
        <x:v>暦年・暦月</x:v>
      </x:c>
      <x:c r="V403" s="18"/>
      <x:c r="W403" s="7" t="str">
        <x:v>SRC-e1b6404c3c</x:v>
      </x:c>
      <x:c r="X403" s="7" t="str"/>
      <x:c r="Y403" s="20" t="n">
        <x:v>396</x:v>
      </x:c>
      <x:c r="Z403" s="7" t="str"/>
      <x:c r="AA403" s="7" t="str"/>
      <x:c r="AB403" s="7" t="str"/>
    </x:row>
    <x:row r="404" ht="30" customHeight="1">
      <x:c r="A404" s="7" t="str">
        <x:v>2026年</x:v>
      </x:c>
      <x:c r="B404" s="7" t="str">
        <x:v>年</x:v>
      </x:c>
      <x:c r="C404" s="7" t="str">
        <x:v>meti_mitoyo</x:v>
      </x:c>
      <x:c r="D404" s="7" t="str">
        <x:v>ゴイッショみとよ共同送迎</x:v>
      </x:c>
      <x:c r="E404" s="7" t="str">
        <x:v>放課後等デイサービス送迎を追加</x:v>
      </x:c>
      <x:c r="F404" s="7" t="str">
        <x:v>拡張</x:v>
      </x:c>
      <x:c r="G404" s="7" t="str">
        <x:v>地域事例</x:v>
      </x:c>
      <x:c r="H404" s="7" t="str">
        <x:v>経済産業省</x:v>
      </x:c>
      <x:c r="I404" s="7" t="str">
        <x:v>香川県三豊市</x:v>
      </x:c>
      <x:c r="J404" s="7" t="str">
        <x:v>smc</x:v>
      </x:c>
      <x:c r="K404" s="18"/>
      <x:c r="L404" s="7" t="str"/>
      <x:c r="M404" s="18" t="n">
        <x:v>46326</x:v>
      </x:c>
      <x:c r="N404" s="7" t="str">
        <x:v>S128</x:v>
      </x:c>
      <x:c r="O404" s="7" t="str">
        <x:v>https://www.daihatsu.co.jp/goissho/oshirase/d8f2f70000000151.htm</x:v>
      </x:c>
      <x:c r="P404" s="7" t="str"/>
      <x:c r="Q404" s="7" t="str">
        <x:v>EV-65cb62c3443d</x:v>
      </x:c>
      <x:c r="R404" s="7" t="str">
        <x:v>meti_mitoyo</x:v>
      </x:c>
      <x:c r="S404" s="20" t="n">
        <x:v>2026</x:v>
      </x:c>
      <x:c r="T404" s="20" t="n">
        <x:v>1</x:v>
      </x:c>
      <x:c r="U404" s="7" t="str">
        <x:v>暦年・暦月</x:v>
      </x:c>
      <x:c r="V404" s="18"/>
      <x:c r="W404" s="7" t="str">
        <x:v>SRC-919bf820f3</x:v>
      </x:c>
      <x:c r="X404" s="7" t="str"/>
      <x:c r="Y404" s="20" t="n">
        <x:v>397</x:v>
      </x:c>
      <x:c r="Z404" s="7" t="str"/>
      <x:c r="AA404" s="7" t="str"/>
      <x:c r="AB404" s="7" t="str"/>
    </x:row>
    <x:row r="405" ht="83" customHeight="1">
      <x:c r="A405" s="7" t="str">
        <x:v>2026（10月31日まで）</x:v>
      </x:c>
      <x:c r="B405" s="7" t="str">
        <x:v>年</x:v>
      </x:c>
      <x:c r="C405" s="7" t="str"/>
      <x:c r="D405" s="7" t="str">
        <x:v>国土交通省の政策動向</x:v>
      </x:c>
      <x:c r="E405" s="7" t="str">
        <x:v>リ・デザイン4類型。3月31日COMmmmONS13標準等と20選定、8月21日AV37交付、観光MaaS9採択。成果未公表や年度途中を「成功」としない。</x:v>
      </x:c>
      <x:c r="F405" s="7" t="str"/>
      <x:c r="G405" s="7" t="str">
        <x:v>政策制度</x:v>
      </x:c>
      <x:c r="H405" s="7" t="str">
        <x:v>国土交通省</x:v>
      </x:c>
      <x:c r="I405" s="7" t="str"/>
      <x:c r="J405" s="7" t="str"/>
      <x:c r="K405" s="18"/>
      <x:c r="L405" s="7" t="str"/>
      <x:c r="M405" s="18" t="n">
        <x:v>46326</x:v>
      </x:c>
      <x:c r="N405" s="7" t="str">
        <x:v>S013
S248
S239
S243
S271</x:v>
      </x:c>
      <x:c r="O405" s="7" t="str">
        <x:v>https://www.mlit.go.jp/sogoseisaku/transport/sosei_transport_tk_000160.html</x:v>
      </x:c>
      <x:c r="P405" s="7" t="str"/>
      <x:c r="Q405" s="7" t="str">
        <x:v>EV-d9cd2f8fcfa6</x:v>
      </x:c>
      <x:c r="R405" s="7" t="str">
        <x:v>mlit</x:v>
      </x:c>
      <x:c r="S405" s="20" t="n">
        <x:v>2026</x:v>
      </x:c>
      <x:c r="T405" s="20" t="n">
        <x:v>1</x:v>
      </x:c>
      <x:c r="U405" s="7" t="str">
        <x:v>暦年・暦月</x:v>
      </x:c>
      <x:c r="V405" s="18"/>
      <x:c r="W405" s="7" t="str">
        <x:v>SRC-1a3fa50c24
SRC-e3caafad86
SRC-2a526f74ad
SRC-01ddef8dc0
SRC-dc31021747</x:v>
      </x:c>
      <x:c r="X405" s="7" t="str">
        <x:v>https://kotsu-kuhaku-r8.jp/
https://www.mlit.go.jp/report/press/sogo12_hh_000511.html
https://www.mlit.go.jp/report/press/content/001992827.pdf
https://www.mlit.go.jp/report/press/jidosha07_hh_000569.html</x:v>
      </x:c>
      <x:c r="Y405" s="20" t="n">
        <x:v>398</x:v>
      </x:c>
      <x:c r="Z405" s="7" t="str"/>
      <x:c r="AA405" s="7" t="str"/>
      <x:c r="AB405" s="7" t="str"/>
    </x:row>
    <x:row r="406" ht="54.599998474121094" customHeight="1">
      <x:c r="A406" s="7" t="str">
        <x:v>2025年度末</x:v>
      </x:c>
      <x:c r="B406" s="7" t="str">
        <x:v>年度</x:v>
      </x:c>
      <x:c r="C406" s="7" t="str">
        <x:v>DIG-P04</x:v>
      </x:c>
      <x:c r="D406" s="7" t="str">
        <x:v>SIP第3期 スマートモビリティプラットフォームの構築</x:v>
      </x:c>
      <x:c r="E406" s="7" t="str">
        <x:v>テーマ16終了。達成終了・中止の分類は未確定。</x:v>
      </x:c>
      <x:c r="F406" s="7" t="str">
        <x:v>テーマ終了 理由未確認</x:v>
      </x:c>
      <x:c r="G406" s="7" t="str">
        <x:v>政策制度</x:v>
      </x:c>
      <x:c r="H406" s="7" t="str">
        <x:v>内閣府CSTI
NEDO
経済産業省</x:v>
      </x:c>
      <x:c r="I406" s="7" t="str"/>
      <x:c r="J406" s="7" t="str">
        <x:v>DIG-P04</x:v>
      </x:c>
      <x:c r="K406" s="18" t="n">
        <x:v>46195</x:v>
      </x:c>
      <x:c r="L406" s="7" t="str">
        <x:v>2026-06-22</x:v>
      </x:c>
      <x:c r="M406" s="18" t="n">
        <x:v>46326</x:v>
      </x:c>
      <x:c r="N406" s="7" t="str">
        <x:v>S044</x:v>
      </x:c>
      <x:c r="O406" s="7" t="str">
        <x:v>https://sip3.nedo.go.jp/smartmobility/theme/index.html</x:v>
      </x:c>
      <x:c r="P406" s="7" t="str"/>
      <x:c r="Q406" s="7" t="str">
        <x:v>EV-f145cad74114</x:v>
      </x:c>
      <x:c r="R406" s="7" t="str">
        <x:v>DIG-P04</x:v>
      </x:c>
      <x:c r="S406" s="20" t="n">
        <x:v>2026</x:v>
      </x:c>
      <x:c r="T406" s="20" t="n">
        <x:v>1</x:v>
      </x:c>
      <x:c r="U406" s="7" t="str">
        <x:v>年度・年度末</x:v>
      </x:c>
      <x:c r="V406" s="18"/>
      <x:c r="W406" s="7" t="str">
        <x:v>SRC-19aba14d34</x:v>
      </x:c>
      <x:c r="X406" s="7" t="str"/>
      <x:c r="Y406" s="20" t="n">
        <x:v>399</x:v>
      </x:c>
      <x:c r="Z406" s="7" t="str"/>
      <x:c r="AA406" s="7" t="str"/>
      <x:c r="AB406" s="7" t="str"/>
    </x:row>
    <x:row r="407" ht="40.400001525878906" customHeight="1">
      <x:c r="A407" s="7" t="str">
        <x:v>2026年1月13日</x:v>
      </x:c>
      <x:c r="B407" s="7" t="str">
        <x:v>日</x:v>
      </x:c>
      <x:c r="C407" s="7" t="str">
        <x:v>meti_kashiwa</x:v>
      </x:c>
      <x:c r="D407" s="7" t="str">
        <x:v>柏の葉 L4路車協調</x:v>
      </x:c>
      <x:c r="E407" s="7" t="str">
        <x:v>サービス開始</x:v>
      </x:c>
      <x:c r="F407" s="7" t="str">
        <x:v>実装</x:v>
      </x:c>
      <x:c r="G407" s="7" t="str">
        <x:v>地域事例</x:v>
      </x:c>
      <x:c r="H407" s="7" t="str">
        <x:v>経済産業省</x:v>
      </x:c>
      <x:c r="I407" s="7" t="str">
        <x:v>千葉県柏市</x:v>
      </x:c>
      <x:c r="J407" s="7" t="str">
        <x:v>roadl4</x:v>
      </x:c>
      <x:c r="K407" s="18" t="n">
        <x:v>46086</x:v>
      </x:c>
      <x:c r="L407" s="7" t="str">
        <x:v>2026-03-05</x:v>
      </x:c>
      <x:c r="M407" s="18" t="n">
        <x:v>46326</x:v>
      </x:c>
      <x:c r="N407" s="7" t="str">
        <x:v>S312</x:v>
      </x:c>
      <x:c r="O407" s="7" t="str">
        <x:v>https://www.road-to-the-l4.go.jp/publication/pdf/02-5_theme04_20260305.pdf</x:v>
      </x:c>
      <x:c r="P407" s="7" t="str"/>
      <x:c r="Q407" s="7" t="str">
        <x:v>EV-4c75cb23cf84</x:v>
      </x:c>
      <x:c r="R407" s="7" t="str">
        <x:v>meti_kashiwa</x:v>
      </x:c>
      <x:c r="S407" s="20" t="n">
        <x:v>2026</x:v>
      </x:c>
      <x:c r="T407" s="20" t="n">
        <x:v>1</x:v>
      </x:c>
      <x:c r="U407" s="7" t="str">
        <x:v>暦年・暦月</x:v>
      </x:c>
      <x:c r="V407" s="18" t="n">
        <x:v>46035</x:v>
      </x:c>
      <x:c r="W407" s="7" t="str">
        <x:v>SRC-71d58a8918</x:v>
      </x:c>
      <x:c r="X407" s="7" t="str"/>
      <x:c r="Y407" s="20" t="n">
        <x:v>400</x:v>
      </x:c>
      <x:c r="Z407" s="7" t="str"/>
      <x:c r="AA407" s="7" t="str"/>
      <x:c r="AB407" s="7" t="str"/>
    </x:row>
    <x:row r="408" ht="68.80000305175781" customHeight="1">
      <x:c r="A408" s="7" t="str">
        <x:v>2026-01-14/2026-02-12</x:v>
      </x:c>
      <x:c r="B408" s="7" t="str">
        <x:v>期間</x:v>
      </x:c>
      <x:c r="C408" s="7" t="str">
        <x:v>DIG-C17</x:v>
      </x:c>
      <x:c r="D408" s="7" t="str">
        <x:v>仁淀川町：外出目的創出とくるりんバス</x:v>
      </x:c>
      <x:c r="E408" s="7" t="str">
        <x:v>冬の無料調査走行。対象を一般へ拡大、延べ378利用と報告。</x:v>
      </x:c>
      <x:c r="F408" s="7" t="str">
        <x:v>冬季実証と拡張</x:v>
      </x:c>
      <x:c r="G408" s="7" t="str">
        <x:v>地域事例</x:v>
      </x:c>
      <x:c r="H408" s="7" t="str">
        <x:v>内閣府CSTI
NEDO
経済産業省
内閣府・総務省・デジタル庁等</x:v>
      </x:c>
      <x:c r="I408" s="7" t="str">
        <x:v>高知県仁淀川町</x:v>
      </x:c>
      <x:c r="J408" s="7" t="str">
        <x:v>DIG-P04</x:v>
      </x:c>
      <x:c r="K408" s="18" t="str">
        <x:v>2026-03</x:v>
      </x:c>
      <x:c r="L408" s="7" t="str">
        <x:v>2026-03</x:v>
      </x:c>
      <x:c r="M408" s="18" t="n">
        <x:v>46326</x:v>
      </x:c>
      <x:c r="N408" s="7" t="str">
        <x:v>S045</x:v>
      </x:c>
      <x:c r="O408" s="7" t="str">
        <x:v>https://sip3.nedo.go.jp/smartmobility/upload/docs/7650a0e5fb857f859b853f1d600af61154d13e30.pdf</x:v>
      </x:c>
      <x:c r="P408" s="7" t="str"/>
      <x:c r="Q408" s="7" t="str">
        <x:v>EV-28d2795b0168</x:v>
      </x:c>
      <x:c r="R408" s="7" t="str">
        <x:v>DIG-C17</x:v>
      </x:c>
      <x:c r="S408" s="20" t="n">
        <x:v>2026</x:v>
      </x:c>
      <x:c r="T408" s="20" t="n">
        <x:v>1</x:v>
      </x:c>
      <x:c r="U408" s="7" t="str">
        <x:v>暦年・暦月</x:v>
      </x:c>
      <x:c r="V408" s="18"/>
      <x:c r="W408" s="7" t="str">
        <x:v>SRC-f420e4751a</x:v>
      </x:c>
      <x:c r="X408" s="7" t="str"/>
      <x:c r="Y408" s="20" t="n">
        <x:v>401</x:v>
      </x:c>
      <x:c r="Z408" s="7" t="str"/>
      <x:c r="AA408" s="7" t="str"/>
      <x:c r="AB408" s="7" t="str"/>
    </x:row>
    <x:row r="409" ht="40.400001525878906" customHeight="1">
      <x:c r="A409" s="7" t="str">
        <x:v>2026年1月14日</x:v>
      </x:c>
      <x:c r="B409" s="7" t="str">
        <x:v>日</x:v>
      </x:c>
      <x:c r="C409" s="7" t="str">
        <x:v>meti_kosai</x:v>
      </x:c>
      <x:c r="D409" s="7" t="str">
        <x:v>企業シャトルBaaS</x:v>
      </x:c>
      <x:c r="E409" s="7" t="str">
        <x:v>通年運行を開始</x:v>
      </x:c>
      <x:c r="F409" s="7" t="str">
        <x:v>実装</x:v>
      </x:c>
      <x:c r="G409" s="7" t="str">
        <x:v>地域事例</x:v>
      </x:c>
      <x:c r="H409" s="7" t="str">
        <x:v>経済産業省</x:v>
      </x:c>
      <x:c r="I409" s="7" t="str">
        <x:v>静岡県湖西市</x:v>
      </x:c>
      <x:c r="J409" s="7" t="str">
        <x:v>smc</x:v>
      </x:c>
      <x:c r="K409" s="18" t="n">
        <x:v>46094</x:v>
      </x:c>
      <x:c r="L409" s="7" t="str">
        <x:v>2026-03-13</x:v>
      </x:c>
      <x:c r="M409" s="18" t="n">
        <x:v>46326</x:v>
      </x:c>
      <x:c r="N409" s="7" t="str">
        <x:v>S081</x:v>
      </x:c>
      <x:c r="O409" s="7" t="str">
        <x:v>https://www.city.kosai.shizuoka.jp/soshikiichiran/toshikeikakuka/gyomuannai/koutuu/kigyousyatorubaas/10651.html</x:v>
      </x:c>
      <x:c r="P409" s="7" t="str"/>
      <x:c r="Q409" s="7" t="str">
        <x:v>EV-f7c67b21a703</x:v>
      </x:c>
      <x:c r="R409" s="7" t="str">
        <x:v>meti_kosai</x:v>
      </x:c>
      <x:c r="S409" s="20" t="n">
        <x:v>2026</x:v>
      </x:c>
      <x:c r="T409" s="20" t="n">
        <x:v>1</x:v>
      </x:c>
      <x:c r="U409" s="7" t="str">
        <x:v>暦年・暦月</x:v>
      </x:c>
      <x:c r="V409" s="18" t="n">
        <x:v>46036</x:v>
      </x:c>
      <x:c r="W409" s="7" t="str">
        <x:v>SRC-daa1cc130f</x:v>
      </x:c>
      <x:c r="X409" s="7" t="str"/>
      <x:c r="Y409" s="20" t="n">
        <x:v>402</x:v>
      </x:c>
      <x:c r="Z409" s="7" t="str"/>
      <x:c r="AA409" s="7" t="str"/>
      <x:c r="AB409" s="7" t="str"/>
    </x:row>
    <x:row r="410" ht="40.400001525878906" customHeight="1">
      <x:c r="A410" s="7" t="str">
        <x:v>2026年1月19日</x:v>
      </x:c>
      <x:c r="B410" s="7" t="str">
        <x:v>日</x:v>
      </x:c>
      <x:c r="C410" s="7" t="str">
        <x:v>meti_goto</x:v>
      </x:c>
      <x:c r="D410" s="7" t="str">
        <x:v>五島列島の医薬品ドローン</x:v>
      </x:c>
      <x:c r="E410" s="7" t="str">
        <x:v>2～8℃保冷品の契約配送開始</x:v>
      </x:c>
      <x:c r="F410" s="7" t="str">
        <x:v>実装拡張</x:v>
      </x:c>
      <x:c r="G410" s="7" t="str">
        <x:v>地域事例</x:v>
      </x:c>
      <x:c r="H410" s="7" t="str">
        <x:v>経済産業省</x:v>
      </x:c>
      <x:c r="I410" s="7" t="str">
        <x:v>長崎県五島市・新上五島町等</x:v>
      </x:c>
      <x:c r="J410" s="7" t="str">
        <x:v>dress
reamo</x:v>
      </x:c>
      <x:c r="K410" s="18" t="n">
        <x:v>46041</x:v>
      </x:c>
      <x:c r="L410" s="7" t="str">
        <x:v>2026-01-19</x:v>
      </x:c>
      <x:c r="M410" s="18" t="n">
        <x:v>46326</x:v>
      </x:c>
      <x:c r="N410" s="7" t="str">
        <x:v>S049</x:v>
      </x:c>
      <x:c r="O410" s="7" t="str">
        <x:v>https://sora-iina.com/news/press/20260119_514.html</x:v>
      </x:c>
      <x:c r="P410" s="7" t="str"/>
      <x:c r="Q410" s="7" t="str">
        <x:v>EV-74989415b51f</x:v>
      </x:c>
      <x:c r="R410" s="7" t="str">
        <x:v>meti_goto</x:v>
      </x:c>
      <x:c r="S410" s="20" t="n">
        <x:v>2026</x:v>
      </x:c>
      <x:c r="T410" s="20" t="n">
        <x:v>1</x:v>
      </x:c>
      <x:c r="U410" s="7" t="str">
        <x:v>暦年・暦月</x:v>
      </x:c>
      <x:c r="V410" s="18" t="n">
        <x:v>46041</x:v>
      </x:c>
      <x:c r="W410" s="7" t="str">
        <x:v>SRC-8e3ccf6070</x:v>
      </x:c>
      <x:c r="X410" s="7" t="str"/>
      <x:c r="Y410" s="20" t="n">
        <x:v>403</x:v>
      </x:c>
      <x:c r="Z410" s="7" t="str"/>
      <x:c r="AA410" s="7" t="str"/>
      <x:c r="AB410" s="7" t="str"/>
    </x:row>
    <x:row r="411" ht="40.400001525878906" customHeight="1">
      <x:c r="A411" s="7" t="str">
        <x:v>2026年1月31日</x:v>
      </x:c>
      <x:c r="B411" s="7" t="str">
        <x:v>日</x:v>
      </x:c>
      <x:c r="C411" s="7" t="str">
        <x:v>meti_hitachi</x:v>
      </x:c>
      <x:c r="D411" s="7" t="str">
        <x:v>ひたちBRT L4</x:v>
      </x:c>
      <x:c r="E411" s="7" t="str">
        <x:v>営業実績集計、8,284人</x:v>
      </x:c>
      <x:c r="F411" s="7" t="str">
        <x:v>運行実績</x:v>
      </x:c>
      <x:c r="G411" s="7" t="str">
        <x:v>地域事例</x:v>
      </x:c>
      <x:c r="H411" s="7" t="str">
        <x:v>経済産業省</x:v>
      </x:c>
      <x:c r="I411" s="7" t="str">
        <x:v>茨城県日立市</x:v>
      </x:c>
      <x:c r="J411" s="7" t="str">
        <x:v>lastmile
roadl4</x:v>
      </x:c>
      <x:c r="K411" s="18" t="n">
        <x:v>46086</x:v>
      </x:c>
      <x:c r="L411" s="7" t="str">
        <x:v>2026-03-05</x:v>
      </x:c>
      <x:c r="M411" s="18" t="n">
        <x:v>46326</x:v>
      </x:c>
      <x:c r="N411" s="7" t="str">
        <x:v>S310</x:v>
      </x:c>
      <x:c r="O411" s="7" t="str">
        <x:v>https://www.road-to-the-l4.go.jp/publication/pdf/02-3_theme02_20260305.pdf</x:v>
      </x:c>
      <x:c r="P411" s="7" t="str"/>
      <x:c r="Q411" s="7" t="str">
        <x:v>EV-2aaedeb65ca1</x:v>
      </x:c>
      <x:c r="R411" s="7" t="str">
        <x:v>meti_hitachi</x:v>
      </x:c>
      <x:c r="S411" s="20" t="n">
        <x:v>2026</x:v>
      </x:c>
      <x:c r="T411" s="20" t="n">
        <x:v>1</x:v>
      </x:c>
      <x:c r="U411" s="7" t="str">
        <x:v>暦年・暦月</x:v>
      </x:c>
      <x:c r="V411" s="18" t="n">
        <x:v>46053</x:v>
      </x:c>
      <x:c r="W411" s="7" t="str">
        <x:v>SRC-615a2d613e</x:v>
      </x:c>
      <x:c r="X411" s="7" t="str"/>
      <x:c r="Y411" s="20" t="n">
        <x:v>404</x:v>
      </x:c>
      <x:c r="Z411" s="7" t="str"/>
      <x:c r="AA411" s="7" t="str"/>
      <x:c r="AB411" s="7" t="str"/>
    </x:row>
    <x:row r="412" ht="30" customHeight="1">
      <x:c r="A412" s="7" t="str">
        <x:v>2026年1月31日</x:v>
      </x:c>
      <x:c r="B412" s="7" t="str">
        <x:v>日</x:v>
      </x:c>
      <x:c r="C412" s="7" t="str">
        <x:v>mlit_murakami</x:v>
      </x:c>
      <x:c r="D412" s="7" t="str">
        <x:v>山北徳新会病院車両の公共ライドシェア活用</x:v>
      </x:c>
      <x:c r="E412" s="7" t="str">
        <x:v>47日分運行実績の観測終期</x:v>
      </x:c>
      <x:c r="F412" s="7" t="str">
        <x:v>途中成果</x:v>
      </x:c>
      <x:c r="G412" s="7" t="str">
        <x:v>地域事例</x:v>
      </x:c>
      <x:c r="H412" s="7" t="str">
        <x:v>国土交通省</x:v>
      </x:c>
      <x:c r="I412" s="7" t="str">
        <x:v>新潟県村上市山北地区</x:v>
      </x:c>
      <x:c r="J412" s="7" t="str"/>
      <x:c r="K412" s="18"/>
      <x:c r="L412" s="7" t="str">
        <x:v>FY2025</x:v>
      </x:c>
      <x:c r="M412" s="18" t="n">
        <x:v>46326</x:v>
      </x:c>
      <x:c r="N412" s="7" t="str">
        <x:v>S016</x:v>
      </x:c>
      <x:c r="O412" s="7" t="str">
        <x:v>https://kotsu-kuhaku.jp/adopter_7/kotsu/detail.php?CN=426566</x:v>
      </x:c>
      <x:c r="P412" s="7" t="str"/>
      <x:c r="Q412" s="7" t="str">
        <x:v>EV-eb9f1d68416f</x:v>
      </x:c>
      <x:c r="R412" s="7" t="str">
        <x:v>mlit_murakami</x:v>
      </x:c>
      <x:c r="S412" s="20" t="n">
        <x:v>2026</x:v>
      </x:c>
      <x:c r="T412" s="20" t="n">
        <x:v>1</x:v>
      </x:c>
      <x:c r="U412" s="7" t="str">
        <x:v>暦年・暦月</x:v>
      </x:c>
      <x:c r="V412" s="18" t="n">
        <x:v>46053</x:v>
      </x:c>
      <x:c r="W412" s="7" t="str">
        <x:v>SRC-84b979ac9d</x:v>
      </x:c>
      <x:c r="X412" s="7" t="str"/>
      <x:c r="Y412" s="20" t="n">
        <x:v>405</x:v>
      </x:c>
      <x:c r="Z412" s="7" t="str"/>
      <x:c r="AA412" s="7" t="str"/>
      <x:c r="AB412" s="7" t="str"/>
    </x:row>
    <x:row r="413" ht="30" customHeight="1">
      <x:c r="A413" s="7" t="str">
        <x:v>2026年2月</x:v>
      </x:c>
      <x:c r="B413" s="7" t="str">
        <x:v>月</x:v>
      </x:c>
      <x:c r="C413" s="7" t="str">
        <x:v>V-C03</x:v>
      </x:c>
      <x:c r="D413" s="7" t="str">
        <x:v>上士幌自動運転</x:v>
      </x:c>
      <x:c r="E413" s="7" t="str">
        <x:v>RoboBus実証は期間終了。ARMA廃止と混同しない</x:v>
      </x:c>
      <x:c r="F413" s="7" t="str">
        <x:v>別車種実証終了</x:v>
      </x:c>
      <x:c r="G413" s="7" t="str">
        <x:v>地域事例</x:v>
      </x:c>
      <x:c r="H413" s="7" t="str">
        <x:v>横断検証（個別所管は資料参照）</x:v>
      </x:c>
      <x:c r="I413" s="7" t="str">
        <x:v>北海道上士幌町</x:v>
      </x:c>
      <x:c r="J413" s="7" t="str"/>
      <x:c r="K413" s="18"/>
      <x:c r="L413" s="7" t="str"/>
      <x:c r="M413" s="18" t="n">
        <x:v>46326</x:v>
      </x:c>
      <x:c r="N413" s="7" t="str">
        <x:v>S188</x:v>
      </x:c>
      <x:c r="O413" s="7" t="str">
        <x:v>https://www.kamishihoro.jp/sp/self_driving_bus</x:v>
      </x:c>
      <x:c r="P413" s="7" t="str"/>
      <x:c r="Q413" s="7" t="str">
        <x:v>EV-2e4cc12de3af</x:v>
      </x:c>
      <x:c r="R413" s="7" t="str">
        <x:v>V-C03</x:v>
      </x:c>
      <x:c r="S413" s="20" t="n">
        <x:v>2026</x:v>
      </x:c>
      <x:c r="T413" s="20" t="n">
        <x:v>2</x:v>
      </x:c>
      <x:c r="U413" s="7" t="str">
        <x:v>暦年・暦月</x:v>
      </x:c>
      <x:c r="V413" s="18"/>
      <x:c r="W413" s="7" t="str">
        <x:v>SRC-6bba5e5a9d</x:v>
      </x:c>
      <x:c r="X413" s="7" t="str"/>
      <x:c r="Y413" s="20" t="n">
        <x:v>406</x:v>
      </x:c>
      <x:c r="Z413" s="7" t="str"/>
      <x:c r="AA413" s="7" t="str"/>
      <x:c r="AB413" s="7" t="str"/>
    </x:row>
    <x:row r="414" ht="54.599998474121094" customHeight="1">
      <x:c r="A414" s="7" t="str">
        <x:v>2026年2月4日</x:v>
      </x:c>
      <x:c r="B414" s="7" t="str">
        <x:v>日</x:v>
      </x:c>
      <x:c r="C414" s="7" t="str">
        <x:v>DIG-P12</x:v>
      </x:c>
      <x:c r="D414" s="7" t="str">
        <x:v>デジタル田園都市国家構想と地方創生交付金の系列</x:v>
      </x:c>
      <x:c r="E414" s="7" t="str">
        <x:v>地域未来交付金の制度要綱。</x:v>
      </x:c>
      <x:c r="F414" s="7" t="str">
        <x:v>交付金再編</x:v>
      </x:c>
      <x:c r="G414" s="7" t="str">
        <x:v>政策制度</x:v>
      </x:c>
      <x:c r="H414" s="7" t="str">
        <x:v>内閣官房・内閣府地方創生
デジタル庁（基盤・実装支援）
地方自治体</x:v>
      </x:c>
      <x:c r="I414" s="7" t="str"/>
      <x:c r="J414" s="7" t="str">
        <x:v>DIG-P12</x:v>
      </x:c>
      <x:c r="K414" s="18"/>
      <x:c r="L414" s="7" t="str">
        <x:v>2026-10月採択公表を掲載／2026-10-31閲覧</x:v>
      </x:c>
      <x:c r="M414" s="18" t="n">
        <x:v>46326</x:v>
      </x:c>
      <x:c r="N414" s="7" t="str">
        <x:v>S062</x:v>
      </x:c>
      <x:c r="O414" s="7" t="str">
        <x:v>https://www.chisou.go.jp/sousei/about/chiikimiraikoufukin/index.html</x:v>
      </x:c>
      <x:c r="P414" s="7" t="str"/>
      <x:c r="Q414" s="7" t="str">
        <x:v>EV-2082a44a0595</x:v>
      </x:c>
      <x:c r="R414" s="7" t="str">
        <x:v>DIG-P12</x:v>
      </x:c>
      <x:c r="S414" s="20" t="n">
        <x:v>2026</x:v>
      </x:c>
      <x:c r="T414" s="20" t="n">
        <x:v>2</x:v>
      </x:c>
      <x:c r="U414" s="7" t="str">
        <x:v>暦年・暦月</x:v>
      </x:c>
      <x:c r="V414" s="18" t="n">
        <x:v>46057</x:v>
      </x:c>
      <x:c r="W414" s="7" t="str">
        <x:v>SRC-730b20ee66</x:v>
      </x:c>
      <x:c r="X414" s="7" t="str"/>
      <x:c r="Y414" s="20" t="n">
        <x:v>407</x:v>
      </x:c>
      <x:c r="Z414" s="7" t="str"/>
      <x:c r="AA414" s="7" t="str"/>
      <x:c r="AB414" s="7" t="str"/>
    </x:row>
    <x:row r="415" ht="40.400001525878906" customHeight="1">
      <x:c r="A415" s="7" t="str">
        <x:v>2026年2月16日</x:v>
      </x:c>
      <x:c r="B415" s="7" t="str">
        <x:v>日</x:v>
      </x:c>
      <x:c r="C415" s="7" t="str">
        <x:v>meti_osaka_air</x:v>
      </x:c>
      <x:c r="D415" s="7" t="str">
        <x:v>大阪・関西万博の空域管理</x:v>
      </x:c>
      <x:c r="E415" s="7" t="str">
        <x:v>成果報告</x:v>
      </x:c>
      <x:c r="F415" s="7" t="str">
        <x:v>結果公表</x:v>
      </x:c>
      <x:c r="G415" s="7" t="str">
        <x:v>地域事例</x:v>
      </x:c>
      <x:c r="H415" s="7" t="str">
        <x:v>経済産業省</x:v>
      </x:c>
      <x:c r="I415" s="7" t="str">
        <x:v>大阪府大阪市・万博会場周辺</x:v>
      </x:c>
      <x:c r="J415" s="7" t="str">
        <x:v>reamo</x:v>
      </x:c>
      <x:c r="K415" s="18" t="n">
        <x:v>46069</x:v>
      </x:c>
      <x:c r="L415" s="7" t="str">
        <x:v>2026-02-16</x:v>
      </x:c>
      <x:c r="M415" s="18" t="n">
        <x:v>46326</x:v>
      </x:c>
      <x:c r="N415" s="7" t="str">
        <x:v>S037</x:v>
      </x:c>
      <x:c r="O415" s="7" t="str">
        <x:v>https://reamo.nedo.go.jp/library/2026/03/03_JUIDA_Slides_260216.pdf</x:v>
      </x:c>
      <x:c r="P415" s="7" t="str"/>
      <x:c r="Q415" s="7" t="str">
        <x:v>EV-b4b5166d879c</x:v>
      </x:c>
      <x:c r="R415" s="7" t="str">
        <x:v>meti_osaka_air</x:v>
      </x:c>
      <x:c r="S415" s="20" t="n">
        <x:v>2026</x:v>
      </x:c>
      <x:c r="T415" s="20" t="n">
        <x:v>2</x:v>
      </x:c>
      <x:c r="U415" s="7" t="str">
        <x:v>暦年・暦月</x:v>
      </x:c>
      <x:c r="V415" s="18" t="n">
        <x:v>46069</x:v>
      </x:c>
      <x:c r="W415" s="7" t="str">
        <x:v>SRC-fc67d3588c</x:v>
      </x:c>
      <x:c r="X415" s="7" t="str"/>
      <x:c r="Y415" s="20" t="n">
        <x:v>408</x:v>
      </x:c>
      <x:c r="Z415" s="7" t="str"/>
      <x:c r="AA415" s="7" t="str"/>
      <x:c r="AB415" s="7" t="str"/>
    </x:row>
    <x:row r="416" ht="40.400001525878906" customHeight="1">
      <x:c r="A416" s="7" t="str">
        <x:v>2026年2月18日</x:v>
      </x:c>
      <x:c r="B416" s="7" t="str">
        <x:v>日</x:v>
      </x:c>
      <x:c r="C416" s="7" t="str">
        <x:v>V-C07</x:v>
      </x:c>
      <x:c r="D416" s="7" t="str">
        <x:v>伊那市モバイルクリニック</x:v>
      </x:c>
      <x:c r="E416" s="7" t="str">
        <x:v>2026–2030の事業計画を掲載</x:v>
      </x:c>
      <x:c r="F416" s="7" t="str">
        <x:v>継続計画公表</x:v>
      </x:c>
      <x:c r="G416" s="7" t="str">
        <x:v>地域事例</x:v>
      </x:c>
      <x:c r="H416" s="7" t="str">
        <x:v>横断検証（個別所管は資料参照）</x:v>
      </x:c>
      <x:c r="I416" s="7" t="str">
        <x:v>長野県伊那市</x:v>
      </x:c>
      <x:c r="J416" s="7" t="str"/>
      <x:c r="K416" s="18" t="n">
        <x:v>46071</x:v>
      </x:c>
      <x:c r="L416" s="7" t="str">
        <x:v>2026-02-18</x:v>
      </x:c>
      <x:c r="M416" s="18" t="n">
        <x:v>46326</x:v>
      </x:c>
      <x:c r="N416" s="7" t="str">
        <x:v>S179</x:v>
      </x:c>
      <x:c r="O416" s="7" t="str">
        <x:v>https://www.inacity.jp/koho/pressrelease/inapress0802/inapress080218.files/PR080218_chiikisozo.pdf</x:v>
      </x:c>
      <x:c r="P416" s="7" t="str"/>
      <x:c r="Q416" s="7" t="str">
        <x:v>EV-81bb842372a5</x:v>
      </x:c>
      <x:c r="R416" s="7" t="str">
        <x:v>V-C07</x:v>
      </x:c>
      <x:c r="S416" s="20" t="n">
        <x:v>2026</x:v>
      </x:c>
      <x:c r="T416" s="20" t="n">
        <x:v>2</x:v>
      </x:c>
      <x:c r="U416" s="7" t="str">
        <x:v>暦年・暦月</x:v>
      </x:c>
      <x:c r="V416" s="18" t="n">
        <x:v>46071</x:v>
      </x:c>
      <x:c r="W416" s="7" t="str">
        <x:v>SRC-81f9cf7210</x:v>
      </x:c>
      <x:c r="X416" s="7" t="str"/>
      <x:c r="Y416" s="20" t="n">
        <x:v>409</x:v>
      </x:c>
      <x:c r="Z416" s="7" t="str"/>
      <x:c r="AA416" s="7" t="str"/>
      <x:c r="AB416" s="7" t="str"/>
    </x:row>
    <x:row r="417" ht="40.400001525878906" customHeight="1">
      <x:c r="A417" s="7" t="str">
        <x:v>2026年2月20日</x:v>
      </x:c>
      <x:c r="B417" s="7" t="str">
        <x:v>日</x:v>
      </x:c>
      <x:c r="C417" s="7" t="str">
        <x:v>meti_goto</x:v>
      </x:c>
      <x:c r="D417" s="7" t="str">
        <x:v>五島列島の医薬品ドローン</x:v>
      </x:c>
      <x:c r="E417" s="7" t="str">
        <x:v>五島市でエリアL4実証を公表</x:v>
      </x:c>
      <x:c r="F417" s="7" t="str">
        <x:v>実証</x:v>
      </x:c>
      <x:c r="G417" s="7" t="str">
        <x:v>地域事例</x:v>
      </x:c>
      <x:c r="H417" s="7" t="str">
        <x:v>経済産業省</x:v>
      </x:c>
      <x:c r="I417" s="7" t="str">
        <x:v>長崎県五島市・新上五島町等</x:v>
      </x:c>
      <x:c r="J417" s="7" t="str">
        <x:v>dress
reamo</x:v>
      </x:c>
      <x:c r="K417" s="18"/>
      <x:c r="L417" s="7" t="str"/>
      <x:c r="M417" s="18" t="n">
        <x:v>46326</x:v>
      </x:c>
      <x:c r="N417" s="7" t="str">
        <x:v>S048</x:v>
      </x:c>
      <x:c r="O417" s="7" t="str">
        <x:v>https://sora-iina.com/</x:v>
      </x:c>
      <x:c r="P417" s="7" t="str"/>
      <x:c r="Q417" s="7" t="str">
        <x:v>EV-ddc569c4da9f</x:v>
      </x:c>
      <x:c r="R417" s="7" t="str">
        <x:v>meti_goto</x:v>
      </x:c>
      <x:c r="S417" s="20" t="n">
        <x:v>2026</x:v>
      </x:c>
      <x:c r="T417" s="20" t="n">
        <x:v>2</x:v>
      </x:c>
      <x:c r="U417" s="7" t="str">
        <x:v>暦年・暦月</x:v>
      </x:c>
      <x:c r="V417" s="18" t="n">
        <x:v>46073</x:v>
      </x:c>
      <x:c r="W417" s="7" t="str">
        <x:v>SRC-7b22d6f8e2</x:v>
      </x:c>
      <x:c r="X417" s="7" t="str"/>
      <x:c r="Y417" s="20" t="n">
        <x:v>410</x:v>
      </x:c>
      <x:c r="Z417" s="7" t="str"/>
      <x:c r="AA417" s="7" t="str"/>
      <x:c r="AB417" s="7" t="str"/>
    </x:row>
    <x:row r="418" ht="30" customHeight="1">
      <x:c r="A418" s="7" t="str">
        <x:v>2026年2月28日</x:v>
      </x:c>
      <x:c r="B418" s="7" t="str">
        <x:v>日</x:v>
      </x:c>
      <x:c r="C418" s="7" t="str">
        <x:v>mlit_unzen</x:v>
      </x:c>
      <x:c r="D418" s="7" t="str">
        <x:v>夜間余剰マイクロバスによるスポーツ送迎</x:v>
      </x:c>
      <x:c r="E418" s="7" t="str">
        <x:v>公表実施期間終期</x:v>
      </x:c>
      <x:c r="F418" s="7" t="str">
        <x:v>記載期間終期</x:v>
      </x:c>
      <x:c r="G418" s="7" t="str">
        <x:v>地域事例</x:v>
      </x:c>
      <x:c r="H418" s="7" t="str">
        <x:v>国土交通省</x:v>
      </x:c>
      <x:c r="I418" s="7" t="str">
        <x:v>長崎県雲仙市</x:v>
      </x:c>
      <x:c r="J418" s="7" t="str">
        <x:v>kyousou</x:v>
      </x:c>
      <x:c r="K418" s="18"/>
      <x:c r="L418" s="7" t="str">
        <x:v>FY2025</x:v>
      </x:c>
      <x:c r="M418" s="18" t="n">
        <x:v>46326</x:v>
      </x:c>
      <x:c r="N418" s="7" t="str">
        <x:v>S018</x:v>
      </x:c>
      <x:c r="O418" s="7" t="str">
        <x:v>https://kotsu-kuhaku.jp/adopter_7/kyoso/detail.php?CN=426573</x:v>
      </x:c>
      <x:c r="P418" s="7" t="str"/>
      <x:c r="Q418" s="7" t="str">
        <x:v>EV-508d0d288671</x:v>
      </x:c>
      <x:c r="R418" s="7" t="str">
        <x:v>mlit_unzen</x:v>
      </x:c>
      <x:c r="S418" s="20" t="n">
        <x:v>2026</x:v>
      </x:c>
      <x:c r="T418" s="20" t="n">
        <x:v>2</x:v>
      </x:c>
      <x:c r="U418" s="7" t="str">
        <x:v>暦年・暦月</x:v>
      </x:c>
      <x:c r="V418" s="18" t="n">
        <x:v>46081</x:v>
      </x:c>
      <x:c r="W418" s="7" t="str">
        <x:v>SRC-2553a76079</x:v>
      </x:c>
      <x:c r="X418" s="7" t="str"/>
      <x:c r="Y418" s="20" t="n">
        <x:v>411</x:v>
      </x:c>
      <x:c r="Z418" s="7" t="str"/>
      <x:c r="AA418" s="7" t="str"/>
      <x:c r="AB418" s="7" t="str"/>
    </x:row>
    <x:row r="419" ht="68.80000305175781" customHeight="1">
      <x:c r="A419" s="7" t="str">
        <x:v>2026年3月</x:v>
      </x:c>
      <x:c r="B419" s="7" t="str">
        <x:v>月</x:v>
      </x:c>
      <x:c r="C419" s="7" t="str">
        <x:v>DIG-C16</x:v>
      </x:c>
      <x:c r="D419" s="7" t="str">
        <x:v>養父市関宮：小さな拠点＋デマンド交通再編</x:v>
      </x:c>
      <x:c r="E419" s="7" t="str">
        <x:v>満足以上96%等を報告。利用料、冬季安全、交通再編、学校連携の課題が残る。</x:v>
      </x:c>
      <x:c r="F419" s="7" t="str">
        <x:v>成果と次期設計報告</x:v>
      </x:c>
      <x:c r="G419" s="7" t="str">
        <x:v>地域事例</x:v>
      </x:c>
      <x:c r="H419" s="7" t="str">
        <x:v>内閣府CSTI
NEDO
経済産業省
内閣府・総務省・デジタル庁等</x:v>
      </x:c>
      <x:c r="I419" s="7" t="str">
        <x:v>兵庫県養父市関宮地域</x:v>
      </x:c>
      <x:c r="J419" s="7" t="str">
        <x:v>DIG-P04</x:v>
      </x:c>
      <x:c r="K419" s="18" t="str">
        <x:v>2026-03</x:v>
      </x:c>
      <x:c r="L419" s="7" t="str">
        <x:v>2026-03</x:v>
      </x:c>
      <x:c r="M419" s="18" t="n">
        <x:v>46326</x:v>
      </x:c>
      <x:c r="N419" s="7" t="str">
        <x:v>S045</x:v>
      </x:c>
      <x:c r="O419" s="7" t="str">
        <x:v>https://sip3.nedo.go.jp/smartmobility/upload/docs/7650a0e5fb857f859b853f1d600af61154d13e30.pdf</x:v>
      </x:c>
      <x:c r="P419" s="7" t="str"/>
      <x:c r="Q419" s="7" t="str">
        <x:v>EV-019494d10955</x:v>
      </x:c>
      <x:c r="R419" s="7" t="str">
        <x:v>DIG-C16</x:v>
      </x:c>
      <x:c r="S419" s="20" t="n">
        <x:v>2026</x:v>
      </x:c>
      <x:c r="T419" s="20" t="n">
        <x:v>3</x:v>
      </x:c>
      <x:c r="U419" s="7" t="str">
        <x:v>暦年・暦月</x:v>
      </x:c>
      <x:c r="V419" s="18"/>
      <x:c r="W419" s="7" t="str">
        <x:v>SRC-f420e4751a</x:v>
      </x:c>
      <x:c r="X419" s="7" t="str"/>
      <x:c r="Y419" s="20" t="n">
        <x:v>412</x:v>
      </x:c>
      <x:c r="Z419" s="7" t="str"/>
      <x:c r="AA419" s="7" t="str"/>
      <x:c r="AB419" s="7" t="str"/>
    </x:row>
    <x:row r="420" ht="30" customHeight="1">
      <x:c r="A420" s="7" t="str">
        <x:v>2026年3月</x:v>
      </x:c>
      <x:c r="B420" s="7" t="str">
        <x:v>月</x:v>
      </x:c>
      <x:c r="C420" s="7" t="str">
        <x:v>V-C04</x:v>
      </x:c>
      <x:c r="D420" s="7" t="str">
        <x:v>松田町のるーと足柄</x:v>
      </x:c>
      <x:c r="E420" s="7" t="str">
        <x:v>町の評価資料で継続困難との判断</x:v>
      </x:c>
      <x:c r="F420" s="7" t="str">
        <x:v>終了判断</x:v>
      </x:c>
      <x:c r="G420" s="7" t="str">
        <x:v>地域事例</x:v>
      </x:c>
      <x:c r="H420" s="7" t="str">
        <x:v>横断検証（個別所管は資料参照）</x:v>
      </x:c>
      <x:c r="I420" s="7" t="str">
        <x:v>神奈川県松田町</x:v>
      </x:c>
      <x:c r="J420" s="7" t="str"/>
      <x:c r="K420" s="18"/>
      <x:c r="L420" s="7" t="str"/>
      <x:c r="M420" s="18" t="n">
        <x:v>46326</x:v>
      </x:c>
      <x:c r="N420" s="7" t="str">
        <x:v>S054</x:v>
      </x:c>
      <x:c r="O420" s="7" t="str">
        <x:v>https://town.matsuda.kanagawa.jp/uploaded/attachment/18774.pdf</x:v>
      </x:c>
      <x:c r="P420" s="7" t="str"/>
      <x:c r="Q420" s="7" t="str">
        <x:v>EV-59c438b08d88</x:v>
      </x:c>
      <x:c r="R420" s="7" t="str">
        <x:v>V-C04</x:v>
      </x:c>
      <x:c r="S420" s="20" t="n">
        <x:v>2026</x:v>
      </x:c>
      <x:c r="T420" s="20" t="n">
        <x:v>3</x:v>
      </x:c>
      <x:c r="U420" s="7" t="str">
        <x:v>暦年・暦月</x:v>
      </x:c>
      <x:c r="V420" s="18"/>
      <x:c r="W420" s="7" t="str">
        <x:v>SRC-a58ad356af</x:v>
      </x:c>
      <x:c r="X420" s="7" t="str"/>
      <x:c r="Y420" s="20" t="n">
        <x:v>413</x:v>
      </x:c>
      <x:c r="Z420" s="7" t="str"/>
      <x:c r="AA420" s="7" t="str"/>
      <x:c r="AB420" s="7" t="str"/>
    </x:row>
    <x:row r="421" ht="68.80000305175781" customHeight="1">
      <x:c r="A421" s="7" t="str">
        <x:v>2026年3月</x:v>
      </x:c>
      <x:c r="B421" s="7" t="str">
        <x:v>月</x:v>
      </x:c>
      <x:c r="C421" s="7" t="str">
        <x:v>DIG-C17</x:v>
      </x:c>
      <x:c r="D421" s="7" t="str">
        <x:v>仁淀川町：外出目的創出とくるりんバス</x:v>
      </x:c>
      <x:c r="E421" s="7" t="str">
        <x:v>移動目的と福祉効果の研究を報告。医療/介護費削減の因果評価は進行中。</x:v>
      </x:c>
      <x:c r="F421" s="7" t="str">
        <x:v>出力報告 因果未確定</x:v>
      </x:c>
      <x:c r="G421" s="7" t="str">
        <x:v>地域事例</x:v>
      </x:c>
      <x:c r="H421" s="7" t="str">
        <x:v>内閣府CSTI
NEDO
経済産業省
内閣府・総務省・デジタル庁等</x:v>
      </x:c>
      <x:c r="I421" s="7" t="str">
        <x:v>高知県仁淀川町</x:v>
      </x:c>
      <x:c r="J421" s="7" t="str">
        <x:v>DIG-P04</x:v>
      </x:c>
      <x:c r="K421" s="18" t="str">
        <x:v>2026-03</x:v>
      </x:c>
      <x:c r="L421" s="7" t="str">
        <x:v>2026-03</x:v>
      </x:c>
      <x:c r="M421" s="18" t="n">
        <x:v>46326</x:v>
      </x:c>
      <x:c r="N421" s="7" t="str">
        <x:v>S045</x:v>
      </x:c>
      <x:c r="O421" s="7" t="str">
        <x:v>https://sip3.nedo.go.jp/smartmobility/upload/docs/7650a0e5fb857f859b853f1d600af61154d13e30.pdf</x:v>
      </x:c>
      <x:c r="P421" s="7" t="str"/>
      <x:c r="Q421" s="7" t="str">
        <x:v>EV-9b786aa390aa</x:v>
      </x:c>
      <x:c r="R421" s="7" t="str">
        <x:v>DIG-C17</x:v>
      </x:c>
      <x:c r="S421" s="20" t="n">
        <x:v>2026</x:v>
      </x:c>
      <x:c r="T421" s="20" t="n">
        <x:v>3</x:v>
      </x:c>
      <x:c r="U421" s="7" t="str">
        <x:v>暦年・暦月</x:v>
      </x:c>
      <x:c r="V421" s="18"/>
      <x:c r="W421" s="7" t="str">
        <x:v>SRC-f420e4751a</x:v>
      </x:c>
      <x:c r="X421" s="7" t="str"/>
      <x:c r="Y421" s="20" t="n">
        <x:v>414</x:v>
      </x:c>
      <x:c r="Z421" s="7" t="str"/>
      <x:c r="AA421" s="7" t="str"/>
      <x:c r="AB421" s="7" t="str"/>
    </x:row>
    <x:row r="422" ht="40.400001525878906" customHeight="1">
      <x:c r="A422" s="7" t="str">
        <x:v>2026年3月</x:v>
      </x:c>
      <x:c r="B422" s="7" t="str">
        <x:v>公表月</x:v>
      </x:c>
      <x:c r="C422" s="7" t="str">
        <x:v>V-C13</x:v>
      </x:c>
      <x:c r="D422" s="7" t="str">
        <x:v>熊本5社共同経営</x:v>
      </x:c>
      <x:c r="E422" s="7" t="str">
        <x:v>2024年度実績と2026年度方針公表</x:v>
      </x:c>
      <x:c r="F422" s="7" t="str">
        <x:v>継続報告</x:v>
      </x:c>
      <x:c r="G422" s="7" t="str">
        <x:v>地域事例</x:v>
      </x:c>
      <x:c r="H422" s="7" t="str">
        <x:v>横断検証（個別所管は資料参照）</x:v>
      </x:c>
      <x:c r="I422" s="7" t="str">
        <x:v>熊本県熊本市</x:v>
      </x:c>
      <x:c r="J422" s="7" t="str"/>
      <x:c r="K422" s="18" t="str">
        <x:v>2026-03</x:v>
      </x:c>
      <x:c r="L422" s="7" t="str">
        <x:v>2026-03</x:v>
      </x:c>
      <x:c r="M422" s="18" t="n">
        <x:v>46326</x:v>
      </x:c>
      <x:c r="N422" s="7" t="str">
        <x:v>S082</x:v>
      </x:c>
      <x:c r="O422" s="7" t="str">
        <x:v>https://www.city.kumamoto.jp/kiji0032432/3_2432_495498_up_emz8jvz1.pdf</x:v>
      </x:c>
      <x:c r="P422" s="7" t="str"/>
      <x:c r="Q422" s="7" t="str">
        <x:v>EV-a62d458d18aa</x:v>
      </x:c>
      <x:c r="R422" s="7" t="str">
        <x:v>V-C13</x:v>
      </x:c>
      <x:c r="S422" s="20" t="n">
        <x:v>2026</x:v>
      </x:c>
      <x:c r="T422" s="20" t="n">
        <x:v>3</x:v>
      </x:c>
      <x:c r="U422" s="7" t="str">
        <x:v>公表時点</x:v>
      </x:c>
      <x:c r="V422" s="18"/>
      <x:c r="W422" s="7" t="str">
        <x:v>SRC-25815fa80f</x:v>
      </x:c>
      <x:c r="X422" s="7" t="str"/>
      <x:c r="Y422" s="20" t="n">
        <x:v>415</x:v>
      </x:c>
      <x:c r="Z422" s="7" t="str"/>
      <x:c r="AA422" s="7" t="str"/>
      <x:c r="AB422" s="7" t="str"/>
    </x:row>
    <x:row r="423" ht="54.599998474121094" customHeight="1">
      <x:c r="A423" s="7" t="str">
        <x:v>2026年3月2日</x:v>
      </x:c>
      <x:c r="B423" s="7" t="str">
        <x:v>日</x:v>
      </x:c>
      <x:c r="C423" s="7" t="str">
        <x:v>DIG-P12</x:v>
      </x:c>
      <x:c r="D423" s="7" t="str">
        <x:v>デジタル田園都市国家構想と地方創生交付金の系列</x:v>
      </x:c>
      <x:c r="E423" s="7" t="str">
        <x:v>地域未来交付金デジタル実装型交付要綱。旧制度名と新制度名を別実績として重複計上しない。</x:v>
      </x:c>
      <x:c r="F423" s="7" t="str">
        <x:v>規則公表</x:v>
      </x:c>
      <x:c r="G423" s="7" t="str">
        <x:v>政策制度</x:v>
      </x:c>
      <x:c r="H423" s="7" t="str">
        <x:v>内閣官房・内閣府地方創生
デジタル庁（基盤・実装支援）
地方自治体</x:v>
      </x:c>
      <x:c r="I423" s="7" t="str"/>
      <x:c r="J423" s="7" t="str">
        <x:v>DIG-P12</x:v>
      </x:c>
      <x:c r="K423" s="18" t="n">
        <x:v>46083</x:v>
      </x:c>
      <x:c r="L423" s="7" t="str">
        <x:v>2026-03-02</x:v>
      </x:c>
      <x:c r="M423" s="18" t="n">
        <x:v>46326</x:v>
      </x:c>
      <x:c r="N423" s="7" t="str">
        <x:v>S063</x:v>
      </x:c>
      <x:c r="O423" s="7" t="str">
        <x:v>https://www.chisou.go.jp/sousei/about/chiikimiraikoufukin/pdf/chiikimiraikouhukin_2025digital_koufuyoukou.pdf</x:v>
      </x:c>
      <x:c r="P423" s="7" t="str"/>
      <x:c r="Q423" s="7" t="str">
        <x:v>EV-e8a043036a3e</x:v>
      </x:c>
      <x:c r="R423" s="7" t="str">
        <x:v>DIG-P12</x:v>
      </x:c>
      <x:c r="S423" s="20" t="n">
        <x:v>2026</x:v>
      </x:c>
      <x:c r="T423" s="20" t="n">
        <x:v>3</x:v>
      </x:c>
      <x:c r="U423" s="7" t="str">
        <x:v>暦年・暦月</x:v>
      </x:c>
      <x:c r="V423" s="18" t="n">
        <x:v>46083</x:v>
      </x:c>
      <x:c r="W423" s="7" t="str">
        <x:v>SRC-da7ad753ec</x:v>
      </x:c>
      <x:c r="X423" s="7" t="str"/>
      <x:c r="Y423" s="20" t="n">
        <x:v>416</x:v>
      </x:c>
      <x:c r="Z423" s="7" t="str"/>
      <x:c r="AA423" s="7" t="str"/>
      <x:c r="AB423" s="7" t="str"/>
    </x:row>
    <x:row r="424" ht="40.400001525878906" customHeight="1">
      <x:c r="A424" s="7" t="str">
        <x:v>2026年3月5日</x:v>
      </x:c>
      <x:c r="B424" s="7" t="str">
        <x:v>日</x:v>
      </x:c>
      <x:c r="C424" s="7" t="str">
        <x:v>roadl4</x:v>
      </x:c>
      <x:c r="D424" s="7" t="str">
        <x:v>RoAD to the L4</x:v>
      </x:c>
      <x:c r="E424" s="7" t="str">
        <x:v>RoAD to the L4が5年間の成果を総括。研究事業の区切りと各地域の運行継続は別に追う。</x:v>
      </x:c>
      <x:c r="F424" s="7" t="str">
        <x:v>成果総括</x:v>
      </x:c>
      <x:c r="G424" s="7" t="str">
        <x:v>政策制度</x:v>
      </x:c>
      <x:c r="H424" s="7" t="str">
        <x:v>経済産業省</x:v>
      </x:c>
      <x:c r="I424" s="7" t="str"/>
      <x:c r="J424" s="7" t="str">
        <x:v>roadl4</x:v>
      </x:c>
      <x:c r="K424" s="18" t="n">
        <x:v>46086</x:v>
      </x:c>
      <x:c r="L424" s="7" t="str">
        <x:v>2026-03-05</x:v>
      </x:c>
      <x:c r="M424" s="18" t="n">
        <x:v>46326</x:v>
      </x:c>
      <x:c r="N424" s="7" t="str">
        <x:v>S308</x:v>
      </x:c>
      <x:c r="O424" s="7" t="str">
        <x:v>https://www.road-to-the-l4.go.jp/publication/pdf/02-1_RTL4_5y_20260305.pdf</x:v>
      </x:c>
      <x:c r="P424" s="7" t="str"/>
      <x:c r="Q424" s="7" t="str">
        <x:v>EV-73e959e93845</x:v>
      </x:c>
      <x:c r="R424" s="7" t="str">
        <x:v>integrated</x:v>
      </x:c>
      <x:c r="S424" s="20" t="n">
        <x:v>2026</x:v>
      </x:c>
      <x:c r="T424" s="20" t="n">
        <x:v>3</x:v>
      </x:c>
      <x:c r="U424" s="7" t="str">
        <x:v>暦年・暦月</x:v>
      </x:c>
      <x:c r="V424" s="18" t="n">
        <x:v>46086</x:v>
      </x:c>
      <x:c r="W424" s="7" t="str">
        <x:v>SRC-ea3cb3b795</x:v>
      </x:c>
      <x:c r="X424" s="7" t="str"/>
      <x:c r="Y424" s="20" t="n">
        <x:v>417</x:v>
      </x:c>
      <x:c r="Z424" s="7" t="str"/>
      <x:c r="AA424" s="7" t="str"/>
      <x:c r="AB424" s="7" t="str"/>
    </x:row>
    <x:row r="425" ht="40.400001525878906" customHeight="1">
      <x:c r="A425" s="7" t="str">
        <x:v>2026年3月5日</x:v>
      </x:c>
      <x:c r="B425" s="7" t="str">
        <x:v>日</x:v>
      </x:c>
      <x:c r="C425" s="7" t="str">
        <x:v>meti_hitachi</x:v>
      </x:c>
      <x:c r="D425" s="7" t="str">
        <x:v>ひたちBRT L4</x:v>
      </x:c>
      <x:c r="E425" s="7" t="str">
        <x:v>営業継続と遠隔型開発を報告</x:v>
      </x:c>
      <x:c r="F425" s="7" t="str">
        <x:v>継続</x:v>
      </x:c>
      <x:c r="G425" s="7" t="str">
        <x:v>地域事例</x:v>
      </x:c>
      <x:c r="H425" s="7" t="str">
        <x:v>経済産業省</x:v>
      </x:c>
      <x:c r="I425" s="7" t="str">
        <x:v>茨城県日立市</x:v>
      </x:c>
      <x:c r="J425" s="7" t="str">
        <x:v>lastmile
roadl4</x:v>
      </x:c>
      <x:c r="K425" s="18" t="n">
        <x:v>46086</x:v>
      </x:c>
      <x:c r="L425" s="7" t="str">
        <x:v>2026-03-05</x:v>
      </x:c>
      <x:c r="M425" s="18" t="n">
        <x:v>46326</x:v>
      </x:c>
      <x:c r="N425" s="7" t="str">
        <x:v>S310</x:v>
      </x:c>
      <x:c r="O425" s="7" t="str">
        <x:v>https://www.road-to-the-l4.go.jp/publication/pdf/02-3_theme02_20260305.pdf</x:v>
      </x:c>
      <x:c r="P425" s="7" t="str"/>
      <x:c r="Q425" s="7" t="str">
        <x:v>EV-b42f52034507</x:v>
      </x:c>
      <x:c r="R425" s="7" t="str">
        <x:v>meti_hitachi</x:v>
      </x:c>
      <x:c r="S425" s="20" t="n">
        <x:v>2026</x:v>
      </x:c>
      <x:c r="T425" s="20" t="n">
        <x:v>3</x:v>
      </x:c>
      <x:c r="U425" s="7" t="str">
        <x:v>暦年・暦月</x:v>
      </x:c>
      <x:c r="V425" s="18" t="n">
        <x:v>46086</x:v>
      </x:c>
      <x:c r="W425" s="7" t="str">
        <x:v>SRC-615a2d613e</x:v>
      </x:c>
      <x:c r="X425" s="7" t="str"/>
      <x:c r="Y425" s="20" t="n">
        <x:v>418</x:v>
      </x:c>
      <x:c r="Z425" s="7" t="str"/>
      <x:c r="AA425" s="7" t="str"/>
      <x:c r="AB425" s="7" t="str"/>
    </x:row>
    <x:row r="426" ht="40.400001525878906" customHeight="1">
      <x:c r="A426" s="7" t="str">
        <x:v>2026年3月5日</x:v>
      </x:c>
      <x:c r="B426" s="7" t="str">
        <x:v>日</x:v>
      </x:c>
      <x:c r="C426" s="7" t="str">
        <x:v>meti_shintomei</x:v>
      </x:c>
      <x:c r="D426" s="7" t="str">
        <x:v>新東名トラック隊列→高速L4</x:v>
      </x:c>
      <x:c r="E426" s="7" t="str">
        <x:v>高速L4の運営機能・事業化条件を成果報告</x:v>
      </x:c>
      <x:c r="F426" s="7" t="str">
        <x:v>実装準備</x:v>
      </x:c>
      <x:c r="G426" s="7" t="str">
        <x:v>地域事例</x:v>
      </x:c>
      <x:c r="H426" s="7" t="str">
        <x:v>経済産業省
国土交通省</x:v>
      </x:c>
      <x:c r="I426" s="7" t="str">
        <x:v>静岡県・新東名高速</x:v>
      </x:c>
      <x:c r="J426" s="7" t="str">
        <x:v>platoon
roadl4</x:v>
      </x:c>
      <x:c r="K426" s="18" t="n">
        <x:v>46086</x:v>
      </x:c>
      <x:c r="L426" s="7" t="str">
        <x:v>2026-03-05</x:v>
      </x:c>
      <x:c r="M426" s="18" t="n">
        <x:v>46326</x:v>
      </x:c>
      <x:c r="N426" s="7" t="str">
        <x:v>S311</x:v>
      </x:c>
      <x:c r="O426" s="7" t="str">
        <x:v>https://www.road-to-the-l4.go.jp/publication/pdf/02-4_theme03_20260305.pdf</x:v>
      </x:c>
      <x:c r="P426" s="7" t="str"/>
      <x:c r="Q426" s="7" t="str">
        <x:v>EV-d1bd165afedc</x:v>
      </x:c>
      <x:c r="R426" s="7" t="str">
        <x:v>meti_shintomei</x:v>
      </x:c>
      <x:c r="S426" s="20" t="n">
        <x:v>2026</x:v>
      </x:c>
      <x:c r="T426" s="20" t="n">
        <x:v>3</x:v>
      </x:c>
      <x:c r="U426" s="7" t="str">
        <x:v>暦年・暦月</x:v>
      </x:c>
      <x:c r="V426" s="18" t="n">
        <x:v>46086</x:v>
      </x:c>
      <x:c r="W426" s="7" t="str">
        <x:v>SRC-ff789031bc</x:v>
      </x:c>
      <x:c r="X426" s="7" t="str"/>
      <x:c r="Y426" s="20" t="n">
        <x:v>419</x:v>
      </x:c>
      <x:c r="Z426" s="7" t="str"/>
      <x:c r="AA426" s="7" t="str"/>
      <x:c r="AB426" s="7" t="str"/>
    </x:row>
    <x:row r="427" ht="54.599998474121094" customHeight="1">
      <x:c r="A427" s="7" t="str">
        <x:v>2026年3月6日</x:v>
      </x:c>
      <x:c r="B427" s="7" t="str">
        <x:v>日</x:v>
      </x:c>
      <x:c r="C427" s="7" t="str">
        <x:v>DIG-P11</x:v>
      </x:c>
      <x:c r="D427" s="7" t="str">
        <x:v>自動運転社会実装先行的事業化地域事業</x:v>
      </x:c>
      <x:c r="E427" s="7" t="str">
        <x:v>13地域を選定。各補助金の採択を保証しない。</x:v>
      </x:c>
      <x:c r="F427" s="7" t="str">
        <x:v>選定 実装未確認</x:v>
      </x:c>
      <x:c r="G427" s="7" t="str">
        <x:v>政策制度</x:v>
      </x:c>
      <x:c r="H427" s="7" t="str">
        <x:v>デジタル庁
関係府省庁
地方自治体</x:v>
      </x:c>
      <x:c r="I427" s="7" t="str"/>
      <x:c r="J427" s="7" t="str">
        <x:v>DIG-P11</x:v>
      </x:c>
      <x:c r="K427" s="18" t="n">
        <x:v>46087</x:v>
      </x:c>
      <x:c r="L427" s="7" t="str">
        <x:v>2026-03-06</x:v>
      </x:c>
      <x:c r="M427" s="18" t="n">
        <x:v>46326</x:v>
      </x:c>
      <x:c r="N427" s="7" t="str">
        <x:v>S142</x:v>
      </x:c>
      <x:c r="O427" s="7" t="str">
        <x:v>https://www.digital.go.jp/policies/mobility/a71c2b0b-0506-43de-b7f8-2cb20172752a</x:v>
      </x:c>
      <x:c r="P427" s="7" t="str"/>
      <x:c r="Q427" s="7" t="str">
        <x:v>EV-3aba4952fa5e</x:v>
      </x:c>
      <x:c r="R427" s="7" t="str">
        <x:v>DIG-P11</x:v>
      </x:c>
      <x:c r="S427" s="20" t="n">
        <x:v>2026</x:v>
      </x:c>
      <x:c r="T427" s="20" t="n">
        <x:v>3</x:v>
      </x:c>
      <x:c r="U427" s="7" t="str">
        <x:v>暦年・暦月</x:v>
      </x:c>
      <x:c r="V427" s="18" t="n">
        <x:v>46087</x:v>
      </x:c>
      <x:c r="W427" s="7" t="str">
        <x:v>SRC-91022ef486</x:v>
      </x:c>
      <x:c r="X427" s="7" t="str"/>
      <x:c r="Y427" s="20" t="n">
        <x:v>420</x:v>
      </x:c>
      <x:c r="Z427" s="7" t="str"/>
      <x:c r="AA427" s="7" t="str"/>
      <x:c r="AB427" s="7" t="str"/>
    </x:row>
    <x:row r="428" ht="111.4000015258789" customHeight="1">
      <x:c r="A428" s="7" t="str">
        <x:v>2026年3月6日</x:v>
      </x:c>
      <x:c r="B428" s="7" t="str">
        <x:v>日</x:v>
      </x:c>
      <x:c r="C428" s="7" t="str">
        <x:v>DIG-C06</x:v>
      </x:c>
      <x:c r="D428" s="7" t="str">
        <x:v>小松駅・空港路線のローカル5Gと路側情報配信</x:v>
      </x:c>
      <x:c r="E428" s="7" t="str">
        <x:v>先行的事業化地域の技術課題解決型に選定。2027年度事業化に向ける支援で運行完成ではない。</x:v>
      </x:c>
      <x:c r="F428" s="7" t="str">
        <x:v>次段階採択</x:v>
      </x:c>
      <x:c r="G428" s="7" t="str">
        <x:v>地域事例</x:v>
      </x:c>
      <x:c r="H428" s="7" t="str">
        <x:v>総務省
三菱総合研究所（事務局）
地域コンソーシアム
デジタル庁
関係府省庁
地方自治体
内閣府・総務省・デジタル庁等</x:v>
      </x:c>
      <x:c r="I428" s="7" t="str">
        <x:v>石川県小松市</x:v>
      </x:c>
      <x:c r="J428" s="7" t="str">
        <x:v>DIG-P15
DIG-P11</x:v>
      </x:c>
      <x:c r="K428" s="18" t="n">
        <x:v>46087</x:v>
      </x:c>
      <x:c r="L428" s="7" t="str">
        <x:v>2026-03-06</x:v>
      </x:c>
      <x:c r="M428" s="18" t="n">
        <x:v>46326</x:v>
      </x:c>
      <x:c r="N428" s="7" t="str">
        <x:v>S142</x:v>
      </x:c>
      <x:c r="O428" s="7" t="str">
        <x:v>https://www.digital.go.jp/policies/mobility/a71c2b0b-0506-43de-b7f8-2cb20172752a</x:v>
      </x:c>
      <x:c r="P428" s="7" t="str"/>
      <x:c r="Q428" s="7" t="str">
        <x:v>EV-6a1bed27f7d7</x:v>
      </x:c>
      <x:c r="R428" s="7" t="str">
        <x:v>DIG-C06</x:v>
      </x:c>
      <x:c r="S428" s="20" t="n">
        <x:v>2026</x:v>
      </x:c>
      <x:c r="T428" s="20" t="n">
        <x:v>3</x:v>
      </x:c>
      <x:c r="U428" s="7" t="str">
        <x:v>暦年・暦月</x:v>
      </x:c>
      <x:c r="V428" s="18" t="n">
        <x:v>46087</x:v>
      </x:c>
      <x:c r="W428" s="7" t="str">
        <x:v>SRC-91022ef486</x:v>
      </x:c>
      <x:c r="X428" s="7" t="str"/>
      <x:c r="Y428" s="20" t="n">
        <x:v>421</x:v>
      </x:c>
      <x:c r="Z428" s="7" t="str"/>
      <x:c r="AA428" s="7" t="str"/>
      <x:c r="AB428" s="7" t="str"/>
    </x:row>
    <x:row r="429" ht="125.5999984741211" customHeight="1">
      <x:c r="A429" s="7" t="str">
        <x:v>2026年3月6日</x:v>
      </x:c>
      <x:c r="B429" s="7" t="str">
        <x:v>日</x:v>
      </x:c>
      <x:c r="C429" s="7" t="str">
        <x:v>DIG-C19</x:v>
      </x:c>
      <x:c r="D429" s="7" t="str">
        <x:v>日立市大甕駅周辺・自動運転サービス支援道</x:v>
      </x:c>
      <x:c r="E429" s="7" t="str">
        <x:v>市は先行的事業化地域の面的拡大型に選定。</x:v>
      </x:c>
      <x:c r="F429" s="7" t="str">
        <x:v>地域拡張採択</x:v>
      </x:c>
      <x:c r="G429" s="7" t="str">
        <x:v>地域事例</x:v>
      </x:c>
      <x:c r="H429" s="7" t="str">
        <x:v>経済産業省
NEDO
IPA DADC
デジタル庁・デジタル行財政改革会議
デジタル庁
関係府省庁
地方自治体
内閣府・総務省・デジタル庁等</x:v>
      </x:c>
      <x:c r="I429" s="7" t="str">
        <x:v>茨城県日立市</x:v>
      </x:c>
      <x:c r="J429" s="7" t="str">
        <x:v>DIG-P16
DIG-P11</x:v>
      </x:c>
      <x:c r="K429" s="18" t="n">
        <x:v>46087</x:v>
      </x:c>
      <x:c r="L429" s="7" t="str">
        <x:v>2026-03-06</x:v>
      </x:c>
      <x:c r="M429" s="18" t="n">
        <x:v>46326</x:v>
      </x:c>
      <x:c r="N429" s="7" t="str">
        <x:v>S142</x:v>
      </x:c>
      <x:c r="O429" s="7" t="str">
        <x:v>https://www.digital.go.jp/policies/mobility/a71c2b0b-0506-43de-b7f8-2cb20172752a</x:v>
      </x:c>
      <x:c r="P429" s="7" t="str">
        <x:v>同一期間内の厳密な前後関係は日付精度により未確定</x:v>
      </x:c>
      <x:c r="Q429" s="7" t="str">
        <x:v>EV-7693cbd43e5f</x:v>
      </x:c>
      <x:c r="R429" s="7" t="str">
        <x:v>DIG-C19</x:v>
      </x:c>
      <x:c r="S429" s="20" t="n">
        <x:v>2026</x:v>
      </x:c>
      <x:c r="T429" s="20" t="n">
        <x:v>3</x:v>
      </x:c>
      <x:c r="U429" s="7" t="str">
        <x:v>暦年・暦月</x:v>
      </x:c>
      <x:c r="V429" s="18" t="n">
        <x:v>46087</x:v>
      </x:c>
      <x:c r="W429" s="7" t="str">
        <x:v>SRC-91022ef486</x:v>
      </x:c>
      <x:c r="X429" s="7" t="str"/>
      <x:c r="Y429" s="20" t="n">
        <x:v>422</x:v>
      </x:c>
      <x:c r="Z429" s="7" t="str"/>
      <x:c r="AA429" s="7" t="str"/>
      <x:c r="AB429" s="7" t="str"/>
    </x:row>
    <x:row r="430" ht="40.400001525878906" customHeight="1">
      <x:c r="A430" s="7" t="str">
        <x:v>2026年3月13日</x:v>
      </x:c>
      <x:c r="B430" s="7" t="str">
        <x:v>日</x:v>
      </x:c>
      <x:c r="C430" s="7" t="str">
        <x:v>meti_kosai</x:v>
      </x:c>
      <x:c r="D430" s="7" t="str">
        <x:v>企業シャトルBaaS</x:v>
      </x:c>
      <x:c r="E430" s="7" t="str">
        <x:v>市が通年運行の現行案内を更新</x:v>
      </x:c>
      <x:c r="F430" s="7" t="str">
        <x:v>継続確認</x:v>
      </x:c>
      <x:c r="G430" s="7" t="str">
        <x:v>地域事例</x:v>
      </x:c>
      <x:c r="H430" s="7" t="str">
        <x:v>経済産業省</x:v>
      </x:c>
      <x:c r="I430" s="7" t="str">
        <x:v>静岡県湖西市</x:v>
      </x:c>
      <x:c r="J430" s="7" t="str">
        <x:v>smc</x:v>
      </x:c>
      <x:c r="K430" s="18" t="n">
        <x:v>46094</x:v>
      </x:c>
      <x:c r="L430" s="7" t="str">
        <x:v>2026-03-13</x:v>
      </x:c>
      <x:c r="M430" s="18" t="n">
        <x:v>46326</x:v>
      </x:c>
      <x:c r="N430" s="7" t="str">
        <x:v>S081</x:v>
      </x:c>
      <x:c r="O430" s="7" t="str">
        <x:v>https://www.city.kosai.shizuoka.jp/soshikiichiran/toshikeikakuka/gyomuannai/koutuu/kigyousyatorubaas/10651.html</x:v>
      </x:c>
      <x:c r="P430" s="7" t="str"/>
      <x:c r="Q430" s="7" t="str">
        <x:v>EV-98c32d0cd988</x:v>
      </x:c>
      <x:c r="R430" s="7" t="str">
        <x:v>meti_kosai</x:v>
      </x:c>
      <x:c r="S430" s="20" t="n">
        <x:v>2026</x:v>
      </x:c>
      <x:c r="T430" s="20" t="n">
        <x:v>3</x:v>
      </x:c>
      <x:c r="U430" s="7" t="str">
        <x:v>暦年・暦月</x:v>
      </x:c>
      <x:c r="V430" s="18" t="n">
        <x:v>46094</x:v>
      </x:c>
      <x:c r="W430" s="7" t="str">
        <x:v>SRC-daa1cc130f</x:v>
      </x:c>
      <x:c r="X430" s="7" t="str"/>
      <x:c r="Y430" s="20" t="n">
        <x:v>423</x:v>
      </x:c>
      <x:c r="Z430" s="7" t="str"/>
      <x:c r="AA430" s="7" t="str"/>
      <x:c r="AB430" s="7" t="str"/>
    </x:row>
    <x:row r="431" ht="40.400001525878906" customHeight="1">
      <x:c r="A431" s="7" t="str">
        <x:v>2026年3月27日</x:v>
      </x:c>
      <x:c r="B431" s="7" t="str">
        <x:v>日</x:v>
      </x:c>
      <x:c r="C431" s="7" t="str">
        <x:v>meti_oda</x:v>
      </x:c>
      <x:c r="D431" s="7" t="str">
        <x:v>大田市 医療車両共同利用</x:v>
      </x:c>
      <x:c r="E431" s="7" t="str">
        <x:v>車両共同利用・医療MaaS成果報告</x:v>
      </x:c>
      <x:c r="F431" s="7" t="str">
        <x:v>結果公表</x:v>
      </x:c>
      <x:c r="G431" s="7" t="str">
        <x:v>地域事例</x:v>
      </x:c>
      <x:c r="H431" s="7" t="str">
        <x:v>経済産業省</x:v>
      </x:c>
      <x:c r="I431" s="7" t="str">
        <x:v>島根県大田市</x:v>
      </x:c>
      <x:c r="J431" s="7" t="str">
        <x:v>smc</x:v>
      </x:c>
      <x:c r="K431" s="18" t="n">
        <x:v>46108</x:v>
      </x:c>
      <x:c r="L431" s="7" t="str">
        <x:v>2026-03-27</x:v>
      </x:c>
      <x:c r="M431" s="18" t="n">
        <x:v>46326</x:v>
      </x:c>
      <x:c r="N431" s="7" t="str">
        <x:v>S214</x:v>
      </x:c>
      <x:c r="O431" s="7" t="str">
        <x:v>https://www.meti.go.jp/shingikai/mono_info_service/smart_mobility_challenge/pdf/20260327_3.pdf</x:v>
      </x:c>
      <x:c r="P431" s="7" t="str">
        <x:v>同一期間内の厳密な前後関係は日付精度により未確定</x:v>
      </x:c>
      <x:c r="Q431" s="7" t="str">
        <x:v>EV-64757368377a</x:v>
      </x:c>
      <x:c r="R431" s="7" t="str">
        <x:v>meti_oda</x:v>
      </x:c>
      <x:c r="S431" s="20" t="n">
        <x:v>2026</x:v>
      </x:c>
      <x:c r="T431" s="20" t="n">
        <x:v>3</x:v>
      </x:c>
      <x:c r="U431" s="7" t="str">
        <x:v>暦年・暦月</x:v>
      </x:c>
      <x:c r="V431" s="18" t="n">
        <x:v>46108</x:v>
      </x:c>
      <x:c r="W431" s="7" t="str">
        <x:v>SRC-c1bd878bf7</x:v>
      </x:c>
      <x:c r="X431" s="7" t="str"/>
      <x:c r="Y431" s="20" t="n">
        <x:v>424</x:v>
      </x:c>
      <x:c r="Z431" s="7" t="str"/>
      <x:c r="AA431" s="7" t="str"/>
      <x:c r="AB431" s="7" t="str"/>
    </x:row>
    <x:row r="432" ht="40.400001525878906" customHeight="1">
      <x:c r="A432" s="7" t="str">
        <x:v>2026年3月28日</x:v>
      </x:c>
      <x:c r="B432" s="7" t="str">
        <x:v>日</x:v>
      </x:c>
      <x:c r="C432" s="7" t="str">
        <x:v>V-C08</x:v>
      </x:c>
      <x:c r="D432" s="7" t="str">
        <x:v>相模原グリーンスローモビリティ</x:v>
      </x:c>
      <x:c r="E432" s="7" t="str">
        <x:v>新磯で運行開始</x:v>
      </x:c>
      <x:c r="F432" s="7" t="str">
        <x:v>新磯本格運行</x:v>
      </x:c>
      <x:c r="G432" s="7" t="str">
        <x:v>地域事例</x:v>
      </x:c>
      <x:c r="H432" s="7" t="str">
        <x:v>横断検証（個別所管は資料参照）</x:v>
      </x:c>
      <x:c r="I432" s="7" t="str">
        <x:v>神奈川県相模原市</x:v>
      </x:c>
      <x:c r="J432" s="7" t="str"/>
      <x:c r="K432" s="18"/>
      <x:c r="L432" s="7" t="str"/>
      <x:c r="M432" s="18" t="n">
        <x:v>46326</x:v>
      </x:c>
      <x:c r="N432" s="7" t="str">
        <x:v>S102</x:v>
      </x:c>
      <x:c r="O432" s="7" t="str">
        <x:v>https://www.city.sagamihara.kanagawa.jp/shisei/1026823/toshikotsu/1029044.html</x:v>
      </x:c>
      <x:c r="P432" s="7" t="str"/>
      <x:c r="Q432" s="7" t="str">
        <x:v>EV-b9cd73124e99</x:v>
      </x:c>
      <x:c r="R432" s="7" t="str">
        <x:v>V-C08</x:v>
      </x:c>
      <x:c r="S432" s="20" t="n">
        <x:v>2026</x:v>
      </x:c>
      <x:c r="T432" s="20" t="n">
        <x:v>3</x:v>
      </x:c>
      <x:c r="U432" s="7" t="str">
        <x:v>暦年・暦月</x:v>
      </x:c>
      <x:c r="V432" s="18" t="n">
        <x:v>46109</x:v>
      </x:c>
      <x:c r="W432" s="7" t="str">
        <x:v>SRC-8a018442fd</x:v>
      </x:c>
      <x:c r="X432" s="7" t="str"/>
      <x:c r="Y432" s="20" t="n">
        <x:v>425</x:v>
      </x:c>
      <x:c r="Z432" s="7" t="str"/>
      <x:c r="AA432" s="7" t="str"/>
      <x:c r="AB432" s="7" t="str"/>
    </x:row>
    <x:row r="433" ht="30" customHeight="1">
      <x:c r="A433" s="7" t="str">
        <x:v>2026年3月31日</x:v>
      </x:c>
      <x:c r="B433" s="7" t="str">
        <x:v>日</x:v>
      </x:c>
      <x:c r="C433" s="7" t="str">
        <x:v>mlit_murakami</x:v>
      </x:c>
      <x:c r="D433" s="7" t="str">
        <x:v>山北徳新会病院車両の公共ライドシェア活用</x:v>
      </x:c>
      <x:c r="E433" s="7" t="str">
        <x:v>公表実施期間終期</x:v>
      </x:c>
      <x:c r="F433" s="7" t="str">
        <x:v>記載期間終期</x:v>
      </x:c>
      <x:c r="G433" s="7" t="str">
        <x:v>地域事例</x:v>
      </x:c>
      <x:c r="H433" s="7" t="str">
        <x:v>国土交通省</x:v>
      </x:c>
      <x:c r="I433" s="7" t="str">
        <x:v>新潟県村上市山北地区</x:v>
      </x:c>
      <x:c r="J433" s="7" t="str"/>
      <x:c r="K433" s="18"/>
      <x:c r="L433" s="7" t="str">
        <x:v>FY2025</x:v>
      </x:c>
      <x:c r="M433" s="18" t="n">
        <x:v>46326</x:v>
      </x:c>
      <x:c r="N433" s="7" t="str">
        <x:v>S016</x:v>
      </x:c>
      <x:c r="O433" s="7" t="str">
        <x:v>https://kotsu-kuhaku.jp/adopter_7/kotsu/detail.php?CN=426566</x:v>
      </x:c>
      <x:c r="P433" s="7" t="str"/>
      <x:c r="Q433" s="7" t="str">
        <x:v>EV-078c5a73268e</x:v>
      </x:c>
      <x:c r="R433" s="7" t="str">
        <x:v>mlit_murakami</x:v>
      </x:c>
      <x:c r="S433" s="20" t="n">
        <x:v>2026</x:v>
      </x:c>
      <x:c r="T433" s="20" t="n">
        <x:v>3</x:v>
      </x:c>
      <x:c r="U433" s="7" t="str">
        <x:v>暦年・暦月</x:v>
      </x:c>
      <x:c r="V433" s="18" t="n">
        <x:v>46112</x:v>
      </x:c>
      <x:c r="W433" s="7" t="str">
        <x:v>SRC-84b979ac9d</x:v>
      </x:c>
      <x:c r="X433" s="7" t="str"/>
      <x:c r="Y433" s="20" t="n">
        <x:v>426</x:v>
      </x:c>
      <x:c r="Z433" s="7" t="str"/>
      <x:c r="AA433" s="7" t="str"/>
      <x:c r="AB433" s="7" t="str"/>
    </x:row>
    <x:row r="434" ht="40.400001525878906" customHeight="1">
      <x:c r="A434" s="7" t="str">
        <x:v>2026年3月31日</x:v>
      </x:c>
      <x:c r="B434" s="7" t="str">
        <x:v>日</x:v>
      </x:c>
      <x:c r="C434" s="7" t="str">
        <x:v>smc</x:v>
      </x:c>
      <x:c r="D434" s="7" t="str">
        <x:v>スマートモビリティチャレンジ／地域新MaaS創出推進事業</x:v>
      </x:c>
      <x:c r="E434" s="7" t="str">
        <x:v>スマートモビリティチャレンジ推進協議会が終了。地域の個別サービスが一斉に終了したことを意味しない。</x:v>
      </x:c>
      <x:c r="F434" s="7" t="str">
        <x:v>協議会終了</x:v>
      </x:c>
      <x:c r="G434" s="7" t="str">
        <x:v>政策制度</x:v>
      </x:c>
      <x:c r="H434" s="7" t="str">
        <x:v>経済産業省</x:v>
      </x:c>
      <x:c r="I434" s="7" t="str"/>
      <x:c r="J434" s="7" t="str">
        <x:v>smc</x:v>
      </x:c>
      <x:c r="K434" s="18" t="n">
        <x:v>46104</x:v>
      </x:c>
      <x:c r="L434" s="7" t="str">
        <x:v>2026-03-23</x:v>
      </x:c>
      <x:c r="M434" s="18" t="n">
        <x:v>46326</x:v>
      </x:c>
      <x:c r="N434" s="7" t="str">
        <x:v>S279</x:v>
      </x:c>
      <x:c r="O434" s="7" t="str">
        <x:v>https://www.mobilitychallenge.go.jp/</x:v>
      </x:c>
      <x:c r="P434" s="7" t="str"/>
      <x:c r="Q434" s="7" t="str">
        <x:v>EV-463e0c4662d8</x:v>
      </x:c>
      <x:c r="R434" s="7" t="str">
        <x:v>integrated</x:v>
      </x:c>
      <x:c r="S434" s="20" t="n">
        <x:v>2026</x:v>
      </x:c>
      <x:c r="T434" s="20" t="n">
        <x:v>3</x:v>
      </x:c>
      <x:c r="U434" s="7" t="str">
        <x:v>暦年・暦月</x:v>
      </x:c>
      <x:c r="V434" s="18" t="n">
        <x:v>46112</x:v>
      </x:c>
      <x:c r="W434" s="7" t="str">
        <x:v>SRC-3babd378b0</x:v>
      </x:c>
      <x:c r="X434" s="7" t="str"/>
      <x:c r="Y434" s="20" t="n">
        <x:v>427</x:v>
      </x:c>
      <x:c r="Z434" s="7" t="str"/>
      <x:c r="AA434" s="7" t="str"/>
      <x:c r="AB434" s="7" t="str"/>
    </x:row>
    <x:row r="435" ht="54.599998474121094" customHeight="1">
      <x:c r="A435" s="7" t="str">
        <x:v>2026年3月31日</x:v>
      </x:c>
      <x:c r="B435" s="7" t="str">
        <x:v>日</x:v>
      </x:c>
      <x:c r="C435" s="7" t="str">
        <x:v>DIG-P15</x:v>
      </x:c>
      <x:c r="D435" s="7" t="str">
        <x:v>地域デジタル基盤活用推進／地域社会DX推進パッケージ：自動運転L4検証タイプ</x:v>
      </x:c>
      <x:c r="E435" s="7" t="str">
        <x:v>通信システムモデル集第2版公表。</x:v>
      </x:c>
      <x:c r="F435" s="7" t="str">
        <x:v>標準改訂</x:v>
      </x:c>
      <x:c r="G435" s="7" t="str">
        <x:v>政策制度</x:v>
      </x:c>
      <x:c r="H435" s="7" t="str">
        <x:v>総務省
三菱総合研究所（事務局）
地域コンソーシアム</x:v>
      </x:c>
      <x:c r="I435" s="7" t="str"/>
      <x:c r="J435" s="7" t="str">
        <x:v>DIG-P15</x:v>
      </x:c>
      <x:c r="K435" s="18"/>
      <x:c r="L435" s="7" t="str">
        <x:v>2026-08-07まで更新／2026-10-31閲覧</x:v>
      </x:c>
      <x:c r="M435" s="18" t="n">
        <x:v>46326</x:v>
      </x:c>
      <x:c r="N435" s="7" t="str">
        <x:v>S036</x:v>
      </x:c>
      <x:c r="O435" s="7" t="str">
        <x:v>https://pubpjt.mri.co.jp/pjt_related/rcsad-info/index.html</x:v>
      </x:c>
      <x:c r="P435" s="7" t="str"/>
      <x:c r="Q435" s="7" t="str">
        <x:v>EV-9e276f34df6e</x:v>
      </x:c>
      <x:c r="R435" s="7" t="str">
        <x:v>DIG-P15</x:v>
      </x:c>
      <x:c r="S435" s="20" t="n">
        <x:v>2026</x:v>
      </x:c>
      <x:c r="T435" s="20" t="n">
        <x:v>3</x:v>
      </x:c>
      <x:c r="U435" s="7" t="str">
        <x:v>暦年・暦月</x:v>
      </x:c>
      <x:c r="V435" s="18" t="n">
        <x:v>46112</x:v>
      </x:c>
      <x:c r="W435" s="7" t="str">
        <x:v>SRC-dd614f096b</x:v>
      </x:c>
      <x:c r="X435" s="7" t="str"/>
      <x:c r="Y435" s="20" t="n">
        <x:v>428</x:v>
      </x:c>
      <x:c r="Z435" s="7" t="str"/>
      <x:c r="AA435" s="7" t="str"/>
      <x:c r="AB435" s="7" t="str"/>
    </x:row>
    <x:row r="436" ht="30" customHeight="1">
      <x:c r="A436" s="7" t="str">
        <x:v>2026年3月31日</x:v>
      </x:c>
      <x:c r="B436" s="7" t="str">
        <x:v>日</x:v>
      </x:c>
      <x:c r="C436" s="7" t="str">
        <x:v>V-C04</x:v>
      </x:c>
      <x:c r="D436" s="7" t="str">
        <x:v>松田町のるーと足柄</x:v>
      </x:c>
      <x:c r="E436" s="7" t="str">
        <x:v>町議会質問で終了日を確認</x:v>
      </x:c>
      <x:c r="F436" s="7" t="str">
        <x:v>終了</x:v>
      </x:c>
      <x:c r="G436" s="7" t="str">
        <x:v>地域事例</x:v>
      </x:c>
      <x:c r="H436" s="7" t="str">
        <x:v>横断検証（個別所管は資料参照）</x:v>
      </x:c>
      <x:c r="I436" s="7" t="str">
        <x:v>神奈川県松田町</x:v>
      </x:c>
      <x:c r="J436" s="7" t="str"/>
      <x:c r="K436" s="18" t="str">
        <x:v>2026-06</x:v>
      </x:c>
      <x:c r="L436" s="7" t="str">
        <x:v>2026-06</x:v>
      </x:c>
      <x:c r="M436" s="18" t="n">
        <x:v>46326</x:v>
      </x:c>
      <x:c r="N436" s="7" t="str">
        <x:v>S053</x:v>
      </x:c>
      <x:c r="O436" s="7" t="str">
        <x:v>https://town.matsuda.kanagawa.jp/site/gikai/r0802teireikai.html</x:v>
      </x:c>
      <x:c r="P436" s="7" t="str">
        <x:v>同一期間内の厳密な前後関係は日付精度により未確定</x:v>
      </x:c>
      <x:c r="Q436" s="7" t="str">
        <x:v>EV-acbafd41d443</x:v>
      </x:c>
      <x:c r="R436" s="7" t="str">
        <x:v>V-C04</x:v>
      </x:c>
      <x:c r="S436" s="20" t="n">
        <x:v>2026</x:v>
      </x:c>
      <x:c r="T436" s="20" t="n">
        <x:v>3</x:v>
      </x:c>
      <x:c r="U436" s="7" t="str">
        <x:v>暦年・暦月</x:v>
      </x:c>
      <x:c r="V436" s="18" t="n">
        <x:v>46112</x:v>
      </x:c>
      <x:c r="W436" s="7" t="str">
        <x:v>SRC-4e0e0818e7</x:v>
      </x:c>
      <x:c r="X436" s="7" t="str"/>
      <x:c r="Y436" s="20" t="n">
        <x:v>429</x:v>
      </x:c>
      <x:c r="Z436" s="7" t="str"/>
      <x:c r="AA436" s="7" t="str"/>
      <x:c r="AB436" s="7" t="str"/>
    </x:row>
    <x:row r="437" ht="68.80000305175781" customHeight="1">
      <x:c r="A437" s="7" t="str">
        <x:v>2026年4月1日</x:v>
      </x:c>
      <x:c r="B437" s="7" t="str">
        <x:v>日</x:v>
      </x:c>
      <x:c r="C437" s="7" t="str">
        <x:v>DIG-C11</x:v>
      </x:c>
      <x:c r="D437" s="7" t="str">
        <x:v>チョイソコかりんちゃん</x:v>
      </x:c>
      <x:c r="E437" s="7" t="str">
        <x:v>公式運用ページが通常料金・会員登録・電話/ネット予約と上記拡張期間を掲載。</x:v>
      </x:c>
      <x:c r="F437" s="7" t="str">
        <x:v>運行条件確認</x:v>
      </x:c>
      <x:c r="G437" s="7" t="str">
        <x:v>地域事例</x:v>
      </x:c>
      <x:c r="H437" s="7" t="str">
        <x:v>内閣官房・内閣府地方創生
デジタル庁（基盤・実装支援）
地方自治体
内閣府・総務省・デジタル庁等</x:v>
      </x:c>
      <x:c r="I437" s="7" t="str">
        <x:v>長野県諏訪市</x:v>
      </x:c>
      <x:c r="J437" s="7" t="str">
        <x:v>DIG-P12</x:v>
      </x:c>
      <x:c r="K437" s="18" t="n">
        <x:v>46113</x:v>
      </x:c>
      <x:c r="L437" s="7" t="str">
        <x:v>2026-04-01</x:v>
      </x:c>
      <x:c r="M437" s="18" t="n">
        <x:v>46326</x:v>
      </x:c>
      <x:c r="N437" s="7" t="str">
        <x:v>S110</x:v>
      </x:c>
      <x:c r="O437" s="7" t="str">
        <x:v>https://www.city.suwa.lg.jp/site/bus/66256.html</x:v>
      </x:c>
      <x:c r="P437" s="7" t="str"/>
      <x:c r="Q437" s="7" t="str">
        <x:v>EV-116c608e493e</x:v>
      </x:c>
      <x:c r="R437" s="7" t="str">
        <x:v>DIG-C11</x:v>
      </x:c>
      <x:c r="S437" s="20" t="n">
        <x:v>2026</x:v>
      </x:c>
      <x:c r="T437" s="20" t="n">
        <x:v>4</x:v>
      </x:c>
      <x:c r="U437" s="7" t="str">
        <x:v>暦年・暦月</x:v>
      </x:c>
      <x:c r="V437" s="18" t="n">
        <x:v>46113</x:v>
      </x:c>
      <x:c r="W437" s="7" t="str">
        <x:v>SRC-a0a1581a4c</x:v>
      </x:c>
      <x:c r="X437" s="7" t="str"/>
      <x:c r="Y437" s="20" t="n">
        <x:v>430</x:v>
      </x:c>
      <x:c r="Z437" s="7" t="str"/>
      <x:c r="AA437" s="7" t="str"/>
      <x:c r="AB437" s="7" t="str"/>
    </x:row>
    <x:row r="438" ht="40.400001525878906" customHeight="1">
      <x:c r="A438" s="7" t="str">
        <x:v>2026年度</x:v>
      </x:c>
      <x:c r="B438" s="7" t="str">
        <x:v>年度</x:v>
      </x:c>
      <x:c r="C438" s="7" t="str">
        <x:v>mlit_kyushu</x:v>
      </x:c>
      <x:c r="D438" s="7" t="str">
        <x:v>九州MaaS</x:v>
      </x:c>
      <x:c r="E438" s="7" t="str">
        <x:v>観光MaaS推進事業にサービス高度化案件を採択、結果欄は未掲載</x:v>
      </x:c>
      <x:c r="F438" s="7" t="str">
        <x:v>次段階採択</x:v>
      </x:c>
      <x:c r="G438" s="7" t="str">
        <x:v>地域事例</x:v>
      </x:c>
      <x:c r="H438" s="7" t="str">
        <x:v>国土交通省</x:v>
      </x:c>
      <x:c r="I438" s="7" t="str">
        <x:v>九州7県</x:v>
      </x:c>
      <x:c r="J438" s="7" t="str">
        <x:v>maas_japan</x:v>
      </x:c>
      <x:c r="K438" s="18"/>
      <x:c r="L438" s="7" t="str"/>
      <x:c r="M438" s="18" t="n">
        <x:v>46326</x:v>
      </x:c>
      <x:c r="N438" s="7" t="str">
        <x:v>S271</x:v>
      </x:c>
      <x:c r="O438" s="7" t="str">
        <x:v>https://www.mlit.go.jp/sogoseisaku/transport/sosei_transport_tk_000160.html</x:v>
      </x:c>
      <x:c r="P438" s="7" t="str"/>
      <x:c r="Q438" s="7" t="str">
        <x:v>EV-275cc90e3b0e</x:v>
      </x:c>
      <x:c r="R438" s="7" t="str">
        <x:v>mlit_kyushu</x:v>
      </x:c>
      <x:c r="S438" s="20" t="n">
        <x:v>2026</x:v>
      </x:c>
      <x:c r="T438" s="20" t="n">
        <x:v>4</x:v>
      </x:c>
      <x:c r="U438" s="7" t="str">
        <x:v>年度・年度末</x:v>
      </x:c>
      <x:c r="V438" s="18"/>
      <x:c r="W438" s="7" t="str">
        <x:v>SRC-dc31021747</x:v>
      </x:c>
      <x:c r="X438" s="7" t="str"/>
      <x:c r="Y438" s="20" t="n">
        <x:v>431</x:v>
      </x:c>
      <x:c r="Z438" s="7" t="str"/>
      <x:c r="AA438" s="7" t="str"/>
      <x:c r="AB438" s="7" t="str"/>
    </x:row>
    <x:row r="439" ht="30" customHeight="1">
      <x:c r="A439" s="7" t="str">
        <x:v>2026年度</x:v>
      </x:c>
      <x:c r="B439" s="7" t="str">
        <x:v>年度</x:v>
      </x:c>
      <x:c r="C439" s="7" t="str">
        <x:v>mlit_wakkanai</x:v>
      </x:c>
      <x:c r="D439" s="7" t="str">
        <x:v>稚内市 自動運転導入事業</x:v>
      </x:c>
      <x:c r="E439" s="7" t="str">
        <x:v>自動運転事業開始</x:v>
      </x:c>
      <x:c r="F439" s="7" t="str">
        <x:v>導入準備</x:v>
      </x:c>
      <x:c r="G439" s="7" t="str">
        <x:v>地域事例</x:v>
      </x:c>
      <x:c r="H439" s="7" t="str">
        <x:v>国土交通省</x:v>
      </x:c>
      <x:c r="I439" s="7" t="str">
        <x:v>北海道稚内市</x:v>
      </x:c>
      <x:c r="J439" s="7" t="str">
        <x:v>av_support</x:v>
      </x:c>
      <x:c r="K439" s="18" t="n">
        <x:v>46302</x:v>
      </x:c>
      <x:c r="L439" s="7" t="str">
        <x:v>2026-10-07</x:v>
      </x:c>
      <x:c r="M439" s="18" t="n">
        <x:v>46326</x:v>
      </x:c>
      <x:c r="N439" s="7" t="str">
        <x:v>S120</x:v>
      </x:c>
      <x:c r="O439" s="7" t="str">
        <x:v>https://www.city.wakkanai.hokkaido.jp/kurashi/kotsu/jidounten.html</x:v>
      </x:c>
      <x:c r="P439" s="7" t="str"/>
      <x:c r="Q439" s="7" t="str">
        <x:v>EV-4c1b8af4cbbc</x:v>
      </x:c>
      <x:c r="R439" s="7" t="str">
        <x:v>mlit_wakkanai</x:v>
      </x:c>
      <x:c r="S439" s="20" t="n">
        <x:v>2026</x:v>
      </x:c>
      <x:c r="T439" s="20" t="n">
        <x:v>4</x:v>
      </x:c>
      <x:c r="U439" s="7" t="str">
        <x:v>年度・年度末</x:v>
      </x:c>
      <x:c r="V439" s="18"/>
      <x:c r="W439" s="7" t="str">
        <x:v>SRC-6fdd2f91ae</x:v>
      </x:c>
      <x:c r="X439" s="7" t="str"/>
      <x:c r="Y439" s="20" t="n">
        <x:v>432</x:v>
      </x:c>
      <x:c r="Z439" s="7" t="str"/>
      <x:c r="AA439" s="7" t="str"/>
      <x:c r="AB439" s="7" t="str"/>
    </x:row>
    <x:row r="440" ht="40.400001525878906" customHeight="1">
      <x:c r="A440" s="7" t="str">
        <x:v>2026年4月</x:v>
      </x:c>
      <x:c r="B440" s="7" t="str">
        <x:v>月</x:v>
      </x:c>
      <x:c r="C440" s="7" t="str">
        <x:v>meti_kasugai</x:v>
      </x:c>
      <x:c r="D440" s="7" t="str">
        <x:v>石尾台おでかけサービス</x:v>
      </x:c>
      <x:c r="E440" s="7" t="str">
        <x:v>運行管理システム役割をKDDIから未来シェアへ</x:v>
      </x:c>
      <x:c r="F440" s="7" t="str">
        <x:v>体制変更</x:v>
      </x:c>
      <x:c r="G440" s="7" t="str">
        <x:v>地域事例</x:v>
      </x:c>
      <x:c r="H440" s="7" t="str">
        <x:v>経済産業省</x:v>
      </x:c>
      <x:c r="I440" s="7" t="str">
        <x:v>愛知県春日井市</x:v>
      </x:c>
      <x:c r="J440" s="7" t="str">
        <x:v>smc</x:v>
      </x:c>
      <x:c r="K440" s="18" t="n">
        <x:v>46153</x:v>
      </x:c>
      <x:c r="L440" s="7" t="str">
        <x:v>2026-05-11</x:v>
      </x:c>
      <x:c r="M440" s="18" t="n">
        <x:v>46326</x:v>
      </x:c>
      <x:c r="N440" s="7" t="str">
        <x:v>S071</x:v>
      </x:c>
      <x:c r="O440" s="7" t="str">
        <x:v>https://www.city.kasugai.lg.jp/shisei/machi/new_town/1022354/1024425/index.html</x:v>
      </x:c>
      <x:c r="P440" s="7" t="str"/>
      <x:c r="Q440" s="7" t="str">
        <x:v>EV-579f134c1f52</x:v>
      </x:c>
      <x:c r="R440" s="7" t="str">
        <x:v>meti_kasugai</x:v>
      </x:c>
      <x:c r="S440" s="20" t="n">
        <x:v>2026</x:v>
      </x:c>
      <x:c r="T440" s="20" t="n">
        <x:v>4</x:v>
      </x:c>
      <x:c r="U440" s="7" t="str">
        <x:v>暦年・暦月</x:v>
      </x:c>
      <x:c r="V440" s="18"/>
      <x:c r="W440" s="7" t="str">
        <x:v>SRC-2f236bc8f2</x:v>
      </x:c>
      <x:c r="X440" s="7" t="str"/>
      <x:c r="Y440" s="20" t="n">
        <x:v>433</x:v>
      </x:c>
      <x:c r="Z440" s="7" t="str"/>
      <x:c r="AA440" s="7" t="str"/>
      <x:c r="AB440" s="7" t="str"/>
    </x:row>
    <x:row r="441" ht="54.599998474121094" customHeight="1">
      <x:c r="A441" s="7" t="str">
        <x:v>2026年度</x:v>
      </x:c>
      <x:c r="B441" s="7" t="str">
        <x:v>年度</x:v>
      </x:c>
      <x:c r="C441" s="7" t="str">
        <x:v>DIG-P11</x:v>
      </x:c>
      <x:c r="D441" s="7" t="str">
        <x:v>自動運転社会実装先行的事業化地域事業</x:v>
      </x:c>
      <x:c r="E441" s="7" t="str">
        <x:v>関係施策の集中支援段階。2027年度事業化を目指す計画。</x:v>
      </x:c>
      <x:c r="F441" s="7" t="str">
        <x:v>支援計画</x:v>
      </x:c>
      <x:c r="G441" s="7" t="str">
        <x:v>政策制度</x:v>
      </x:c>
      <x:c r="H441" s="7" t="str">
        <x:v>デジタル庁
関係府省庁
地方自治体</x:v>
      </x:c>
      <x:c r="I441" s="7" t="str"/>
      <x:c r="J441" s="7" t="str">
        <x:v>DIG-P11</x:v>
      </x:c>
      <x:c r="K441" s="18" t="n">
        <x:v>46087</x:v>
      </x:c>
      <x:c r="L441" s="7" t="str">
        <x:v>2026-03-06</x:v>
      </x:c>
      <x:c r="M441" s="18" t="n">
        <x:v>46326</x:v>
      </x:c>
      <x:c r="N441" s="7" t="str">
        <x:v>S142</x:v>
      </x:c>
      <x:c r="O441" s="7" t="str">
        <x:v>https://www.digital.go.jp/policies/mobility/a71c2b0b-0506-43de-b7f8-2cb20172752a</x:v>
      </x:c>
      <x:c r="P441" s="7" t="str"/>
      <x:c r="Q441" s="7" t="str">
        <x:v>EV-7b8dc77121f5</x:v>
      </x:c>
      <x:c r="R441" s="7" t="str">
        <x:v>DIG-P11</x:v>
      </x:c>
      <x:c r="S441" s="20" t="n">
        <x:v>2026</x:v>
      </x:c>
      <x:c r="T441" s="20" t="n">
        <x:v>4</x:v>
      </x:c>
      <x:c r="U441" s="7" t="str">
        <x:v>年度・年度末</x:v>
      </x:c>
      <x:c r="V441" s="18"/>
      <x:c r="W441" s="7" t="str">
        <x:v>SRC-91022ef486</x:v>
      </x:c>
      <x:c r="X441" s="7" t="str"/>
      <x:c r="Y441" s="20" t="n">
        <x:v>434</x:v>
      </x:c>
      <x:c r="Z441" s="7" t="str"/>
      <x:c r="AA441" s="7" t="str"/>
      <x:c r="AB441" s="7" t="str"/>
    </x:row>
    <x:row r="442" ht="40.400001525878906" customHeight="1">
      <x:c r="A442" s="7" t="str">
        <x:v>2026-04-01</x:v>
      </x:c>
      <x:c r="B442" s="7" t="str">
        <x:v>日</x:v>
      </x:c>
      <x:c r="C442" s="7" t="str">
        <x:v>meti_eiheiji</x:v>
      </x:c>
      <x:c r="D442" s="7" t="str">
        <x:v>永平寺町 ZEN drive</x:v>
      </x:c>
      <x:c r="E442" s="7" t="str">
        <x:v>3月末の車両とシステムの保証 保守期間満了に伴い当面運休</x:v>
      </x:c>
      <x:c r="F442" s="7" t="str">
        <x:v>当面休止</x:v>
      </x:c>
      <x:c r="G442" s="7" t="str">
        <x:v>地域事例</x:v>
      </x:c>
      <x:c r="H442" s="7" t="str">
        <x:v>経済産業省
横断検証（個別所管は資料参照）</x:v>
      </x:c>
      <x:c r="I442" s="7" t="str">
        <x:v>福井県永平寺町</x:v>
      </x:c>
      <x:c r="J442" s="7" t="str">
        <x:v>lastmile
roadl4</x:v>
      </x:c>
      <x:c r="K442" s="18" t="n">
        <x:v>46104</x:v>
      </x:c>
      <x:c r="L442" s="7" t="str">
        <x:v>2026-03-23</x:v>
      </x:c>
      <x:c r="M442" s="18" t="n">
        <x:v>46326</x:v>
      </x:c>
      <x:c r="N442" s="7" t="str">
        <x:v>S052</x:v>
      </x:c>
      <x:c r="O442" s="7" t="str">
        <x:v>https://town.eiheiji.lg.jp/200/206/208/p010484.html</x:v>
      </x:c>
      <x:c r="P442" s="7" t="str">
        <x:v>同一事象の複数記録を統合。元イベントID・日付精度・出典別公表日は右欄に保持。</x:v>
      </x:c>
      <x:c r="Q442" s="7" t="str">
        <x:v>EV-9a59cad41ba8</x:v>
      </x:c>
      <x:c r="R442" s="7" t="str">
        <x:v>meti_eiheiji
V-C01</x:v>
      </x:c>
      <x:c r="S442" s="20" t="n">
        <x:v>2026</x:v>
      </x:c>
      <x:c r="T442" s="20" t="n">
        <x:v>4</x:v>
      </x:c>
      <x:c r="U442" s="7" t="str">
        <x:v>暦年・暦月</x:v>
      </x:c>
      <x:c r="V442" s="18" t="n">
        <x:v>46113</x:v>
      </x:c>
      <x:c r="W442" s="7" t="str">
        <x:v>SRC-57608459c3</x:v>
      </x:c>
      <x:c r="X442" s="7" t="str"/>
      <x:c r="Y442" s="20" t="n">
        <x:v>435</x:v>
      </x:c>
      <x:c r="Z442" s="7" t="str">
        <x:v>EV-1aa33b51b5b9
EV-b8a5ccaabf58</x:v>
      </x:c>
      <x:c r="AA442" s="7" t="str">
        <x:v>S052：2026-03-23</x:v>
      </x:c>
      <x:c r="AB442" s="7" t="str">
        <x:v>EV-1aa33b51b5b9：2026年4月1日（日）
EV-b8a5ccaabf58：2026年4月1日（日）</x:v>
      </x:c>
    </x:row>
    <x:row r="443" ht="68.80000305175781" customHeight="1">
      <x:c r="A443" s="7" t="str">
        <x:v>2026年4月</x:v>
      </x:c>
      <x:c r="B443" s="7" t="str">
        <x:v>月</x:v>
      </x:c>
      <x:c r="C443" s="7" t="str">
        <x:v>DIG-C15</x:v>
      </x:c>
      <x:c r="D443" s="7" t="str">
        <x:v>西尾市のデジタチ・モビリティハブ・生活道路対策</x:v>
      </x:c>
      <x:c r="E443" s="7" t="str">
        <x:v>FY2025研究報告が社会実装と予算措置を記述。ただし市公式の2026運用現況との独立照合は未了。</x:v>
      </x:c>
      <x:c r="F443" s="7" t="str">
        <x:v>実装報告 未独立確認</x:v>
      </x:c>
      <x:c r="G443" s="7" t="str">
        <x:v>地域事例</x:v>
      </x:c>
      <x:c r="H443" s="7" t="str">
        <x:v>内閣府CSTI
NEDO
経済産業省
内閣府・総務省・デジタル庁等</x:v>
      </x:c>
      <x:c r="I443" s="7" t="str">
        <x:v>愛知県西尾市吉良・幡豆地区</x:v>
      </x:c>
      <x:c r="J443" s="7" t="str">
        <x:v>DIG-P04</x:v>
      </x:c>
      <x:c r="K443" s="18"/>
      <x:c r="L443" s="7" t="str">
        <x:v>2026（FY2025報告）</x:v>
      </x:c>
      <x:c r="M443" s="18" t="n">
        <x:v>46326</x:v>
      </x:c>
      <x:c r="N443" s="7" t="str">
        <x:v>S047</x:v>
      </x:c>
      <x:c r="O443" s="7" t="str">
        <x:v>https://sip3.nedo.go.jp/smartmobility/upload/docs/fff151fc3abc36822d34b4009cbc88f664668456.pdf</x:v>
      </x:c>
      <x:c r="P443" s="7" t="str"/>
      <x:c r="Q443" s="7" t="str">
        <x:v>EV-fd07b5c14563</x:v>
      </x:c>
      <x:c r="R443" s="7" t="str">
        <x:v>DIG-C15</x:v>
      </x:c>
      <x:c r="S443" s="20" t="n">
        <x:v>2026</x:v>
      </x:c>
      <x:c r="T443" s="20" t="n">
        <x:v>4</x:v>
      </x:c>
      <x:c r="U443" s="7" t="str">
        <x:v>暦年・暦月</x:v>
      </x:c>
      <x:c r="V443" s="18"/>
      <x:c r="W443" s="7" t="str">
        <x:v>SRC-2441cac973</x:v>
      </x:c>
      <x:c r="X443" s="7" t="str"/>
      <x:c r="Y443" s="20" t="n">
        <x:v>436</x:v>
      </x:c>
      <x:c r="Z443" s="7" t="str"/>
      <x:c r="AA443" s="7" t="str"/>
      <x:c r="AB443" s="7" t="str"/>
    </x:row>
    <x:row r="444" ht="68.80000305175781" customHeight="1">
      <x:c r="A444" s="7" t="str">
        <x:v>2026年4月8日</x:v>
      </x:c>
      <x:c r="B444" s="7" t="str">
        <x:v>日</x:v>
      </x:c>
      <x:c r="C444" s="7" t="str">
        <x:v>DIG-C11</x:v>
      </x:c>
      <x:c r="D444" s="7" t="str">
        <x:v>チョイソコかりんちゃん</x:v>
      </x:c>
      <x:c r="E444" s="7" t="str">
        <x:v>既存バス再編を受け土日祝日運行・平日増車テスト開始予定を案内。期間は2027-03-31まで。</x:v>
      </x:c>
      <x:c r="F444" s="7" t="str">
        <x:v>拡張テスト告知</x:v>
      </x:c>
      <x:c r="G444" s="7" t="str">
        <x:v>地域事例</x:v>
      </x:c>
      <x:c r="H444" s="7" t="str">
        <x:v>内閣官房・内閣府地方創生
デジタル庁（基盤・実装支援）
地方自治体
内閣府・総務省・デジタル庁等</x:v>
      </x:c>
      <x:c r="I444" s="7" t="str">
        <x:v>長野県諏訪市</x:v>
      </x:c>
      <x:c r="J444" s="7" t="str">
        <x:v>DIG-P12</x:v>
      </x:c>
      <x:c r="K444" s="18" t="str">
        <x:v>2026-02</x:v>
      </x:c>
      <x:c r="L444" s="7" t="str">
        <x:v>2026-02</x:v>
      </x:c>
      <x:c r="M444" s="18" t="n">
        <x:v>46326</x:v>
      </x:c>
      <x:c r="N444" s="7" t="str">
        <x:v>S115</x:v>
      </x:c>
      <x:c r="O444" s="7" t="str">
        <x:v>https://www.city.suwa.lg.jp/uploaded/attachment/49677.pdf</x:v>
      </x:c>
      <x:c r="P444" s="7" t="str"/>
      <x:c r="Q444" s="7" t="str">
        <x:v>EV-20c1e97d1d6b</x:v>
      </x:c>
      <x:c r="R444" s="7" t="str">
        <x:v>DIG-C11</x:v>
      </x:c>
      <x:c r="S444" s="20" t="n">
        <x:v>2026</x:v>
      </x:c>
      <x:c r="T444" s="20" t="n">
        <x:v>4</x:v>
      </x:c>
      <x:c r="U444" s="7" t="str">
        <x:v>暦年・暦月</x:v>
      </x:c>
      <x:c r="V444" s="18" t="n">
        <x:v>46120</x:v>
      </x:c>
      <x:c r="W444" s="7" t="str">
        <x:v>SRC-9e1ea90bb0</x:v>
      </x:c>
      <x:c r="X444" s="7" t="str"/>
      <x:c r="Y444" s="20" t="n">
        <x:v>437</x:v>
      </x:c>
      <x:c r="Z444" s="7" t="str"/>
      <x:c r="AA444" s="7" t="str"/>
      <x:c r="AB444" s="7" t="str"/>
    </x:row>
    <x:row r="445" ht="40.400001525878906" customHeight="1">
      <x:c r="A445" s="7" t="str">
        <x:v>2026年4月9日</x:v>
      </x:c>
      <x:c r="B445" s="7" t="str">
        <x:v>日</x:v>
      </x:c>
      <x:c r="C445" s="7" t="str">
        <x:v>V-C07</x:v>
      </x:c>
      <x:c r="D445" s="7" t="str">
        <x:v>伊那市モバイルクリニック</x:v>
      </x:c>
      <x:c r="E445" s="7" t="str">
        <x:v>看護師同乗車両で患者宅へ訪問し遠隔医師診療</x:v>
      </x:c>
      <x:c r="F445" s="7" t="str">
        <x:v>サービス案内更新</x:v>
      </x:c>
      <x:c r="G445" s="7" t="str">
        <x:v>地域事例</x:v>
      </x:c>
      <x:c r="H445" s="7" t="str">
        <x:v>横断検証（個別所管は資料参照）</x:v>
      </x:c>
      <x:c r="I445" s="7" t="str">
        <x:v>長野県伊那市</x:v>
      </x:c>
      <x:c r="J445" s="7" t="str"/>
      <x:c r="K445" s="18" t="n">
        <x:v>46121</x:v>
      </x:c>
      <x:c r="L445" s="7" t="str">
        <x:v>2026-04-09</x:v>
      </x:c>
      <x:c r="M445" s="18" t="n">
        <x:v>46326</x:v>
      </x:c>
      <x:c r="N445" s="7" t="str">
        <x:v>S182</x:v>
      </x:c>
      <x:c r="O445" s="7" t="str">
        <x:v>https://www.inacity.jp/shisei/inashiseisakusesaku/shinsangyougijutu/mobileclinic/mobileclinicmain.html</x:v>
      </x:c>
      <x:c r="P445" s="7" t="str"/>
      <x:c r="Q445" s="7" t="str">
        <x:v>EV-b6f3bfd379c6</x:v>
      </x:c>
      <x:c r="R445" s="7" t="str">
        <x:v>V-C07</x:v>
      </x:c>
      <x:c r="S445" s="20" t="n">
        <x:v>2026</x:v>
      </x:c>
      <x:c r="T445" s="20" t="n">
        <x:v>4</x:v>
      </x:c>
      <x:c r="U445" s="7" t="str">
        <x:v>暦年・暦月</x:v>
      </x:c>
      <x:c r="V445" s="18" t="n">
        <x:v>46121</x:v>
      </x:c>
      <x:c r="W445" s="7" t="str">
        <x:v>SRC-802395fdd3</x:v>
      </x:c>
      <x:c r="X445" s="7" t="str"/>
      <x:c r="Y445" s="20" t="n">
        <x:v>438</x:v>
      </x:c>
      <x:c r="Z445" s="7" t="str"/>
      <x:c r="AA445" s="7" t="str"/>
      <x:c r="AB445" s="7" t="str"/>
    </x:row>
    <x:row r="446" ht="54.599998474121094" customHeight="1">
      <x:c r="A446" s="7" t="str">
        <x:v>2026年4月13日</x:v>
      </x:c>
      <x:c r="B446" s="7" t="str">
        <x:v>日</x:v>
      </x:c>
      <x:c r="C446" s="7" t="str">
        <x:v>DIG-P13</x:v>
      </x:c>
      <x:c r="D446" s="7" t="str">
        <x:v>エリアデータ連携基盤・推奨モジュール・共同利用</x:v>
      </x:c>
      <x:c r="E446" s="7" t="str">
        <x:v>FY2025推奨モジュール管理・自治体運用支援の報告公表。</x:v>
      </x:c>
      <x:c r="F446" s="7" t="str">
        <x:v>成果報告</x:v>
      </x:c>
      <x:c r="G446" s="7" t="str">
        <x:v>政策制度</x:v>
      </x:c>
      <x:c r="H446" s="7" t="str">
        <x:v>デジタル庁
DSA
地方自治体・運営主体</x:v>
      </x:c>
      <x:c r="I446" s="7" t="str"/>
      <x:c r="J446" s="7" t="str">
        <x:v>DIG-P13</x:v>
      </x:c>
      <x:c r="K446" s="18" t="n">
        <x:v>46125</x:v>
      </x:c>
      <x:c r="L446" s="7" t="str">
        <x:v>2026-04-13</x:v>
      </x:c>
      <x:c r="M446" s="18" t="n">
        <x:v>46326</x:v>
      </x:c>
      <x:c r="N446" s="7" t="str">
        <x:v>S133</x:v>
      </x:c>
      <x:c r="O446" s="7" t="str">
        <x:v>https://www.digital.go.jp/assets/contents/node/basic_page/field_ref_resources/82a1ea56-128f-4cf6-bbd5-9ef6d4b7bafc/fbcd8e86/20260413_policies_budget_entrustment_deliverables_report_outline_01.pdf</x:v>
      </x:c>
      <x:c r="P446" s="7" t="str"/>
      <x:c r="Q446" s="7" t="str">
        <x:v>EV-7a28c4a21b78</x:v>
      </x:c>
      <x:c r="R446" s="7" t="str">
        <x:v>DIG-P13</x:v>
      </x:c>
      <x:c r="S446" s="20" t="n">
        <x:v>2026</x:v>
      </x:c>
      <x:c r="T446" s="20" t="n">
        <x:v>4</x:v>
      </x:c>
      <x:c r="U446" s="7" t="str">
        <x:v>暦年・暦月</x:v>
      </x:c>
      <x:c r="V446" s="18" t="n">
        <x:v>46125</x:v>
      </x:c>
      <x:c r="W446" s="7" t="str">
        <x:v>SRC-9622d84fa1</x:v>
      </x:c>
      <x:c r="X446" s="7" t="str"/>
      <x:c r="Y446" s="20" t="n">
        <x:v>439</x:v>
      </x:c>
      <x:c r="Z446" s="7" t="str"/>
      <x:c r="AA446" s="7" t="str"/>
      <x:c r="AB446" s="7" t="str"/>
    </x:row>
    <x:row r="447" ht="40.400001525878906" customHeight="1">
      <x:c r="A447" s="7" t="str">
        <x:v>2026年6月</x:v>
      </x:c>
      <x:c r="B447" s="7" t="str">
        <x:v>月</x:v>
      </x:c>
      <x:c r="C447" s="7" t="str">
        <x:v>ENV-C09</x:v>
      </x:c>
      <x:c r="D447" s="7" t="str">
        <x:v>電池交換式EVごみ収集車</x:v>
      </x:c>
      <x:c r="E447" s="7" t="str">
        <x:v>未商用化と量産・運用費支援の必要を国へ要望</x:v>
      </x:c>
      <x:c r="F447" s="7" t="str">
        <x:v>普及課題継続</x:v>
      </x:c>
      <x:c r="G447" s="7" t="str">
        <x:v>地域事例</x:v>
      </x:c>
      <x:c r="H447" s="7" t="str">
        <x:v>環境省</x:v>
      </x:c>
      <x:c r="I447" s="7" t="str">
        <x:v>埼玉県さいたま市</x:v>
      </x:c>
      <x:c r="J447" s="7" t="str"/>
      <x:c r="K447" s="18" t="str">
        <x:v>2026-06</x:v>
      </x:c>
      <x:c r="L447" s="7" t="str">
        <x:v>2026-06</x:v>
      </x:c>
      <x:c r="M447" s="18" t="n">
        <x:v>46326</x:v>
      </x:c>
      <x:c r="N447" s="7" t="str">
        <x:v>S106</x:v>
      </x:c>
      <x:c r="O447" s="7" t="str">
        <x:v>https://www.city.saitama.lg.jp/006/014/008/003/015/003/p131508_d/fil/r9zenkiyoubou.pdf</x:v>
      </x:c>
      <x:c r="P447" s="7" t="str"/>
      <x:c r="Q447" s="7" t="str">
        <x:v>EV-22c0dd029c6d</x:v>
      </x:c>
      <x:c r="R447" s="7" t="str">
        <x:v>ENV-C09</x:v>
      </x:c>
      <x:c r="S447" s="20" t="n">
        <x:v>2026</x:v>
      </x:c>
      <x:c r="T447" s="20" t="n">
        <x:v>6</x:v>
      </x:c>
      <x:c r="U447" s="7" t="str">
        <x:v>暦年・暦月</x:v>
      </x:c>
      <x:c r="V447" s="18"/>
      <x:c r="W447" s="7" t="str">
        <x:v>SRC-1b1c8e79eb</x:v>
      </x:c>
      <x:c r="X447" s="7" t="str"/>
      <x:c r="Y447" s="20" t="n">
        <x:v>440</x:v>
      </x:c>
      <x:c r="Z447" s="7" t="str"/>
      <x:c r="AA447" s="7" t="str"/>
      <x:c r="AB447" s="7" t="str"/>
    </x:row>
    <x:row r="448" ht="68.80000305175781" customHeight="1">
      <x:c r="A448" s="7" t="str">
        <x:v>2026年6月3日</x:v>
      </x:c>
      <x:c r="B448" s="7" t="str">
        <x:v>日</x:v>
      </x:c>
      <x:c r="C448" s="7" t="str">
        <x:v>DIG-C09</x:v>
      </x:c>
      <x:c r="D448" s="7" t="str">
        <x:v>高知市の救急車情報連携・自動停止</x:v>
      </x:c>
      <x:c r="E448" s="7" t="str">
        <x:v>追加の救急隊員操作なしで連携を確認。車線変更等未実装機能は残る。</x:v>
      </x:c>
      <x:c r="F448" s="7" t="str">
        <x:v>成果と限界報告</x:v>
      </x:c>
      <x:c r="G448" s="7" t="str">
        <x:v>地域事例</x:v>
      </x:c>
      <x:c r="H448" s="7" t="str">
        <x:v>総務省
三菱総合研究所（事務局）
地域コンソーシアム
内閣府・総務省・デジタル庁等</x:v>
      </x:c>
      <x:c r="I448" s="7" t="str">
        <x:v>高知県高知市</x:v>
      </x:c>
      <x:c r="J448" s="7" t="str">
        <x:v>DIG-P15</x:v>
      </x:c>
      <x:c r="K448" s="18"/>
      <x:c r="L448" s="7" t="str">
        <x:v>2026-06-03公開</x:v>
      </x:c>
      <x:c r="M448" s="18" t="n">
        <x:v>46326</x:v>
      </x:c>
      <x:c r="N448" s="7" t="str">
        <x:v>S033</x:v>
      </x:c>
      <x:c r="O448" s="7" t="str">
        <x:v>https://pubpjt.mri.co.jp/pjt_related/rcsad-info/eqghpc000000030i-att/20260603rcsad-info_houkoku_kouchi.pdf</x:v>
      </x:c>
      <x:c r="P448" s="7" t="str"/>
      <x:c r="Q448" s="7" t="str">
        <x:v>EV-38ddca5f2995</x:v>
      </x:c>
      <x:c r="R448" s="7" t="str">
        <x:v>DIG-C09</x:v>
      </x:c>
      <x:c r="S448" s="20" t="n">
        <x:v>2026</x:v>
      </x:c>
      <x:c r="T448" s="20" t="n">
        <x:v>6</x:v>
      </x:c>
      <x:c r="U448" s="7" t="str">
        <x:v>暦年・暦月</x:v>
      </x:c>
      <x:c r="V448" s="18" t="n">
        <x:v>46176</x:v>
      </x:c>
      <x:c r="W448" s="7" t="str">
        <x:v>SRC-846bbdb748</x:v>
      </x:c>
      <x:c r="X448" s="7" t="str"/>
      <x:c r="Y448" s="20" t="n">
        <x:v>441</x:v>
      </x:c>
      <x:c r="Z448" s="7" t="str"/>
      <x:c r="AA448" s="7" t="str"/>
      <x:c r="AB448" s="7" t="str"/>
    </x:row>
    <x:row r="449" ht="54.599998474121094" customHeight="1">
      <x:c r="A449" s="7" t="str">
        <x:v>2026年6月3日</x:v>
      </x:c>
      <x:c r="B449" s="7" t="str">
        <x:v>日</x:v>
      </x:c>
      <x:c r="C449" s="7" t="str">
        <x:v>DIG-P15</x:v>
      </x:c>
      <x:c r="D449" s="7" t="str">
        <x:v>地域デジタル基盤活用推進／地域社会DX推進パッケージ：自動運転L4検証タイプ</x:v>
      </x:c>
      <x:c r="E449" s="7" t="str">
        <x:v>FY2025実証報告を公表。</x:v>
      </x:c>
      <x:c r="F449" s="7" t="str">
        <x:v>成果報告</x:v>
      </x:c>
      <x:c r="G449" s="7" t="str">
        <x:v>政策制度</x:v>
      </x:c>
      <x:c r="H449" s="7" t="str">
        <x:v>総務省
三菱総合研究所（事務局）
地域コンソーシアム</x:v>
      </x:c>
      <x:c r="I449" s="7" t="str"/>
      <x:c r="J449" s="7" t="str">
        <x:v>DIG-P15</x:v>
      </x:c>
      <x:c r="K449" s="18"/>
      <x:c r="L449" s="7" t="str">
        <x:v>2026-08-07まで更新／2026-10-31閲覧</x:v>
      </x:c>
      <x:c r="M449" s="18" t="n">
        <x:v>46326</x:v>
      </x:c>
      <x:c r="N449" s="7" t="str">
        <x:v>S036</x:v>
      </x:c>
      <x:c r="O449" s="7" t="str">
        <x:v>https://pubpjt.mri.co.jp/pjt_related/rcsad-info/index.html</x:v>
      </x:c>
      <x:c r="P449" s="7" t="str"/>
      <x:c r="Q449" s="7" t="str">
        <x:v>EV-59ce41a8807f</x:v>
      </x:c>
      <x:c r="R449" s="7" t="str">
        <x:v>DIG-P15</x:v>
      </x:c>
      <x:c r="S449" s="20" t="n">
        <x:v>2026</x:v>
      </x:c>
      <x:c r="T449" s="20" t="n">
        <x:v>6</x:v>
      </x:c>
      <x:c r="U449" s="7" t="str">
        <x:v>暦年・暦月</x:v>
      </x:c>
      <x:c r="V449" s="18" t="n">
        <x:v>46176</x:v>
      </x:c>
      <x:c r="W449" s="7" t="str">
        <x:v>SRC-dd614f096b</x:v>
      </x:c>
      <x:c r="X449" s="7" t="str"/>
      <x:c r="Y449" s="20" t="n">
        <x:v>442</x:v>
      </x:c>
      <x:c r="Z449" s="7" t="str"/>
      <x:c r="AA449" s="7" t="str"/>
      <x:c r="AB449" s="7" t="str"/>
    </x:row>
    <x:row r="450" ht="68.80000305175781" customHeight="1">
      <x:c r="A450" s="7" t="str">
        <x:v>2026年6月3日</x:v>
      </x:c>
      <x:c r="B450" s="7" t="str">
        <x:v>日</x:v>
      </x:c>
      <x:c r="C450" s="7" t="str">
        <x:v>DIG-C08</x:v>
      </x:c>
      <x:c r="D450" s="7" t="str">
        <x:v>美郷町の複数回線・長距離Wi-Fi・衛星通信</x:v>
      </x:c>
      <x:c r="E450" s="7" t="str">
        <x:v>品質確保を報告する一方、単回線と走行結果の比較はできず。</x:v>
      </x:c>
      <x:c r="F450" s="7" t="str">
        <x:v>成果と限界報告</x:v>
      </x:c>
      <x:c r="G450" s="7" t="str">
        <x:v>地域事例</x:v>
      </x:c>
      <x:c r="H450" s="7" t="str">
        <x:v>総務省
三菱総合研究所（事務局）
地域コンソーシアム
内閣府・総務省・デジタル庁等</x:v>
      </x:c>
      <x:c r="I450" s="7" t="str">
        <x:v>島根県美郷町（粕渕・比之宮）</x:v>
      </x:c>
      <x:c r="J450" s="7" t="str">
        <x:v>DIG-P15</x:v>
      </x:c>
      <x:c r="K450" s="18"/>
      <x:c r="L450" s="7" t="str">
        <x:v>2026-06-03公開</x:v>
      </x:c>
      <x:c r="M450" s="18" t="n">
        <x:v>46326</x:v>
      </x:c>
      <x:c r="N450" s="7" t="str">
        <x:v>S035</x:v>
      </x:c>
      <x:c r="O450" s="7" t="str">
        <x:v>https://pubpjt.mri.co.jp/pjt_related/rcsad-info/eqghpc000000030i-att/20260603rcsad-info_houkoku_shimane_misato.pdf</x:v>
      </x:c>
      <x:c r="P450" s="7" t="str"/>
      <x:c r="Q450" s="7" t="str">
        <x:v>EV-67a2cfab90a6</x:v>
      </x:c>
      <x:c r="R450" s="7" t="str">
        <x:v>DIG-C08</x:v>
      </x:c>
      <x:c r="S450" s="20" t="n">
        <x:v>2026</x:v>
      </x:c>
      <x:c r="T450" s="20" t="n">
        <x:v>6</x:v>
      </x:c>
      <x:c r="U450" s="7" t="str">
        <x:v>暦年・暦月</x:v>
      </x:c>
      <x:c r="V450" s="18" t="n">
        <x:v>46176</x:v>
      </x:c>
      <x:c r="W450" s="7" t="str">
        <x:v>SRC-6510930b8a</x:v>
      </x:c>
      <x:c r="X450" s="7" t="str"/>
      <x:c r="Y450" s="20" t="n">
        <x:v>443</x:v>
      </x:c>
      <x:c r="Z450" s="7" t="str"/>
      <x:c r="AA450" s="7" t="str"/>
      <x:c r="AB450" s="7" t="str"/>
    </x:row>
    <x:row r="451" ht="68.80000305175781" customHeight="1">
      <x:c r="A451" s="7" t="str">
        <x:v>2026年6月3日</x:v>
      </x:c>
      <x:c r="B451" s="7" t="str">
        <x:v>日</x:v>
      </x:c>
      <x:c r="C451" s="7" t="str">
        <x:v>DIG-C07</x:v>
      </x:c>
      <x:c r="D451" s="7" t="str">
        <x:v>松江市の遠隔監視・信号／路車協調</x:v>
      </x:c>
      <x:c r="E451" s="7" t="str">
        <x:v>稼働の一部98%/100%、手順漏れ・設定漏れ・資源枯渇等の原因を報告。</x:v>
      </x:c>
      <x:c r="F451" s="7" t="str">
        <x:v>成果と限界報告</x:v>
      </x:c>
      <x:c r="G451" s="7" t="str">
        <x:v>地域事例</x:v>
      </x:c>
      <x:c r="H451" s="7" t="str">
        <x:v>総務省
三菱総合研究所（事務局）
地域コンソーシアム
内閣府・総務省・デジタル庁等</x:v>
      </x:c>
      <x:c r="I451" s="7" t="str">
        <x:v>島根県松江市</x:v>
      </x:c>
      <x:c r="J451" s="7" t="str">
        <x:v>DIG-P15</x:v>
      </x:c>
      <x:c r="K451" s="18"/>
      <x:c r="L451" s="7" t="str">
        <x:v>2026-06-03公開</x:v>
      </x:c>
      <x:c r="M451" s="18" t="n">
        <x:v>46326</x:v>
      </x:c>
      <x:c r="N451" s="7" t="str">
        <x:v>S034</x:v>
      </x:c>
      <x:c r="O451" s="7" t="str">
        <x:v>https://pubpjt.mri.co.jp/pjt_related/rcsad-info/eqghpc000000030i-att/20260603rcsad-info_houkoku_shimane_matsue.pdf</x:v>
      </x:c>
      <x:c r="P451" s="7" t="str"/>
      <x:c r="Q451" s="7" t="str">
        <x:v>EV-f16531fda910</x:v>
      </x:c>
      <x:c r="R451" s="7" t="str">
        <x:v>DIG-C07</x:v>
      </x:c>
      <x:c r="S451" s="20" t="n">
        <x:v>2026</x:v>
      </x:c>
      <x:c r="T451" s="20" t="n">
        <x:v>6</x:v>
      </x:c>
      <x:c r="U451" s="7" t="str">
        <x:v>暦年・暦月</x:v>
      </x:c>
      <x:c r="V451" s="18" t="n">
        <x:v>46176</x:v>
      </x:c>
      <x:c r="W451" s="7" t="str">
        <x:v>SRC-67094370f5</x:v>
      </x:c>
      <x:c r="X451" s="7" t="str"/>
      <x:c r="Y451" s="20" t="n">
        <x:v>444</x:v>
      </x:c>
      <x:c r="Z451" s="7" t="str"/>
      <x:c r="AA451" s="7" t="str"/>
      <x:c r="AB451" s="7" t="str"/>
    </x:row>
    <x:row r="452" ht="54.599998474121094" customHeight="1">
      <x:c r="A452" s="7" t="str">
        <x:v>2026年6月4日</x:v>
      </x:c>
      <x:c r="B452" s="7" t="str">
        <x:v>日</x:v>
      </x:c>
      <x:c r="C452" s="7" t="str">
        <x:v>DIG-P04</x:v>
      </x:c>
      <x:c r="D452" s="7" t="str">
        <x:v>SIP第3期 スマートモビリティプラットフォームの構築</x:v>
      </x:c>
      <x:c r="E452" s="7" t="str">
        <x:v>研究開発・社会実装計画を改定。</x:v>
      </x:c>
      <x:c r="F452" s="7" t="str">
        <x:v>計画改訂</x:v>
      </x:c>
      <x:c r="G452" s="7" t="str">
        <x:v>政策制度</x:v>
      </x:c>
      <x:c r="H452" s="7" t="str">
        <x:v>内閣府CSTI
NEDO
経済産業省</x:v>
      </x:c>
      <x:c r="I452" s="7" t="str"/>
      <x:c r="J452" s="7" t="str">
        <x:v>DIG-P04</x:v>
      </x:c>
      <x:c r="K452" s="18"/>
      <x:c r="L452" s="7" t="str">
        <x:v>2026-06-04改定計画への案内</x:v>
      </x:c>
      <x:c r="M452" s="18" t="n">
        <x:v>46326</x:v>
      </x:c>
      <x:c r="N452" s="7" t="str">
        <x:v>S040</x:v>
      </x:c>
      <x:c r="O452" s="7" t="str">
        <x:v>https://sip3.nedo.go.jp/smartmobility/about/index.html</x:v>
      </x:c>
      <x:c r="P452" s="7" t="str"/>
      <x:c r="Q452" s="7" t="str">
        <x:v>EV-a27b97796368</x:v>
      </x:c>
      <x:c r="R452" s="7" t="str">
        <x:v>DIG-P04</x:v>
      </x:c>
      <x:c r="S452" s="20" t="n">
        <x:v>2026</x:v>
      </x:c>
      <x:c r="T452" s="20" t="n">
        <x:v>6</x:v>
      </x:c>
      <x:c r="U452" s="7" t="str">
        <x:v>暦年・暦月</x:v>
      </x:c>
      <x:c r="V452" s="18" t="n">
        <x:v>46177</x:v>
      </x:c>
      <x:c r="W452" s="7" t="str">
        <x:v>SRC-780b5aff93</x:v>
      </x:c>
      <x:c r="X452" s="7" t="str"/>
      <x:c r="Y452" s="20" t="n">
        <x:v>445</x:v>
      </x:c>
      <x:c r="Z452" s="7" t="str"/>
      <x:c r="AA452" s="7" t="str"/>
      <x:c r="AB452" s="7" t="str"/>
    </x:row>
    <x:row r="453" ht="30" customHeight="1">
      <x:c r="A453" s="7" t="str">
        <x:v>2026年6月16日</x:v>
      </x:c>
      <x:c r="B453" s="7" t="str">
        <x:v>日</x:v>
      </x:c>
      <x:c r="C453" s="7" t="str">
        <x:v>OTHER-C06</x:v>
      </x:c>
      <x:c r="D453" s="7" t="str">
        <x:v>岐阜高速バス 農産物貨客混載</x:v>
      </x:c>
      <x:c r="E453" s="7" t="str">
        <x:v>県が貨客混載実験開始を発表</x:v>
      </x:c>
      <x:c r="F453" s="7" t="str">
        <x:v>開始告知</x:v>
      </x:c>
      <x:c r="G453" s="7" t="str">
        <x:v>地域事例</x:v>
      </x:c>
      <x:c r="H453" s="7" t="str">
        <x:v>その他府省・横断</x:v>
      </x:c>
      <x:c r="I453" s="7" t="str">
        <x:v>岐阜県と名古屋市</x:v>
      </x:c>
      <x:c r="J453" s="7" t="str"/>
      <x:c r="K453" s="18" t="n">
        <x:v>46189</x:v>
      </x:c>
      <x:c r="L453" s="7" t="str">
        <x:v>2026-06-16</x:v>
      </x:c>
      <x:c r="M453" s="18" t="n">
        <x:v>46326</x:v>
      </x:c>
      <x:c r="N453" s="7" t="str">
        <x:v>S303</x:v>
      </x:c>
      <x:c r="O453" s="7" t="str">
        <x:v>https://www.pref.gifu.lg.jp/site/pressrelease/503328.html</x:v>
      </x:c>
      <x:c r="P453" s="7" t="str"/>
      <x:c r="Q453" s="7" t="str">
        <x:v>EV-1906c953b8f7</x:v>
      </x:c>
      <x:c r="R453" s="7" t="str">
        <x:v>OTHER-C06</x:v>
      </x:c>
      <x:c r="S453" s="20" t="n">
        <x:v>2026</x:v>
      </x:c>
      <x:c r="T453" s="20" t="n">
        <x:v>6</x:v>
      </x:c>
      <x:c r="U453" s="7" t="str">
        <x:v>暦年・暦月</x:v>
      </x:c>
      <x:c r="V453" s="18" t="n">
        <x:v>46189</x:v>
      </x:c>
      <x:c r="W453" s="7" t="str">
        <x:v>SRC-de4ed058b3</x:v>
      </x:c>
      <x:c r="X453" s="7" t="str"/>
      <x:c r="Y453" s="20" t="n">
        <x:v>446</x:v>
      </x:c>
      <x:c r="Z453" s="7" t="str"/>
      <x:c r="AA453" s="7" t="str"/>
      <x:c r="AB453" s="7" t="str"/>
    </x:row>
    <x:row r="454" ht="30" customHeight="1">
      <x:c r="A454" s="7" t="str">
        <x:v>2026年6月20日</x:v>
      </x:c>
      <x:c r="B454" s="7" t="str">
        <x:v>日</x:v>
      </x:c>
      <x:c r="C454" s="7" t="str">
        <x:v>V-C03</x:v>
      </x:c>
      <x:c r="D454" s="7" t="str">
        <x:v>上士幌自動運転</x:v>
      </x:c>
      <x:c r="E454" s="7" t="str">
        <x:v>メンテナンスによる運休、再開時期未定</x:v>
      </x:c>
      <x:c r="F454" s="7" t="str">
        <x:v>ARMA休止</x:v>
      </x:c>
      <x:c r="G454" s="7" t="str">
        <x:v>地域事例</x:v>
      </x:c>
      <x:c r="H454" s="7" t="str">
        <x:v>横断検証（個別所管は資料参照）</x:v>
      </x:c>
      <x:c r="I454" s="7" t="str">
        <x:v>北海道上士幌町</x:v>
      </x:c>
      <x:c r="J454" s="7" t="str"/>
      <x:c r="K454" s="18"/>
      <x:c r="L454" s="7" t="str"/>
      <x:c r="M454" s="18" t="n">
        <x:v>46326</x:v>
      </x:c>
      <x:c r="N454" s="7" t="str">
        <x:v>S188</x:v>
      </x:c>
      <x:c r="O454" s="7" t="str">
        <x:v>https://www.kamishihoro.jp/sp/self_driving_bus</x:v>
      </x:c>
      <x:c r="P454" s="7" t="str"/>
      <x:c r="Q454" s="7" t="str">
        <x:v>EV-a7a25cd358ef</x:v>
      </x:c>
      <x:c r="R454" s="7" t="str">
        <x:v>V-C03</x:v>
      </x:c>
      <x:c r="S454" s="20" t="n">
        <x:v>2026</x:v>
      </x:c>
      <x:c r="T454" s="20" t="n">
        <x:v>6</x:v>
      </x:c>
      <x:c r="U454" s="7" t="str">
        <x:v>暦年・暦月</x:v>
      </x:c>
      <x:c r="V454" s="18" t="n">
        <x:v>46193</x:v>
      </x:c>
      <x:c r="W454" s="7" t="str">
        <x:v>SRC-6bba5e5a9d</x:v>
      </x:c>
      <x:c r="X454" s="7" t="str"/>
      <x:c r="Y454" s="20" t="n">
        <x:v>447</x:v>
      </x:c>
      <x:c r="Z454" s="7" t="str"/>
      <x:c r="AA454" s="7" t="str"/>
      <x:c r="AB454" s="7" t="str"/>
    </x:row>
    <x:row r="455" ht="54.599998474121094" customHeight="1">
      <x:c r="A455" s="7" t="str">
        <x:v>2026年6月22日</x:v>
      </x:c>
      <x:c r="B455" s="7" t="str">
        <x:v>日</x:v>
      </x:c>
      <x:c r="C455" s="7" t="str">
        <x:v>DIG-P04</x:v>
      </x:c>
      <x:c r="D455" s="7" t="str">
        <x:v>SIP第3期 スマートモビリティプラットフォームの構築</x:v>
      </x:c>
      <x:c r="E455" s="7" t="str">
        <x:v>公式体制一覧は17テーマ（終了テーマを含む）。</x:v>
      </x:c>
      <x:c r="F455" s="7" t="str">
        <x:v>事業群更新</x:v>
      </x:c>
      <x:c r="G455" s="7" t="str">
        <x:v>政策制度</x:v>
      </x:c>
      <x:c r="H455" s="7" t="str">
        <x:v>内閣府CSTI
NEDO
経済産業省</x:v>
      </x:c>
      <x:c r="I455" s="7" t="str"/>
      <x:c r="J455" s="7" t="str">
        <x:v>DIG-P04</x:v>
      </x:c>
      <x:c r="K455" s="18" t="n">
        <x:v>46195</x:v>
      </x:c>
      <x:c r="L455" s="7" t="str">
        <x:v>2026-06-22</x:v>
      </x:c>
      <x:c r="M455" s="18" t="n">
        <x:v>46326</x:v>
      </x:c>
      <x:c r="N455" s="7" t="str">
        <x:v>S044</x:v>
      </x:c>
      <x:c r="O455" s="7" t="str">
        <x:v>https://sip3.nedo.go.jp/smartmobility/theme/index.html</x:v>
      </x:c>
      <x:c r="P455" s="7" t="str"/>
      <x:c r="Q455" s="7" t="str">
        <x:v>EV-06436d7a1d2f</x:v>
      </x:c>
      <x:c r="R455" s="7" t="str">
        <x:v>DIG-P04</x:v>
      </x:c>
      <x:c r="S455" s="20" t="n">
        <x:v>2026</x:v>
      </x:c>
      <x:c r="T455" s="20" t="n">
        <x:v>6</x:v>
      </x:c>
      <x:c r="U455" s="7" t="str">
        <x:v>暦年・暦月</x:v>
      </x:c>
      <x:c r="V455" s="18" t="n">
        <x:v>46195</x:v>
      </x:c>
      <x:c r="W455" s="7" t="str">
        <x:v>SRC-19aba14d34</x:v>
      </x:c>
      <x:c r="X455" s="7" t="str"/>
      <x:c r="Y455" s="20" t="n">
        <x:v>448</x:v>
      </x:c>
      <x:c r="Z455" s="7" t="str"/>
      <x:c r="AA455" s="7" t="str"/>
      <x:c r="AB455" s="7" t="str"/>
    </x:row>
    <x:row r="456" ht="30" customHeight="1">
      <x:c r="A456" s="7" t="str">
        <x:v>2026年6月26日</x:v>
      </x:c>
      <x:c r="B456" s="7" t="str">
        <x:v>日</x:v>
      </x:c>
      <x:c r="C456" s="7" t="str">
        <x:v>OTHER-C06</x:v>
      </x:c>
      <x:c r="D456" s="7" t="str">
        <x:v>岐阜高速バス 農産物貨客混載</x:v>
      </x:c>
      <x:c r="E456" s="7" t="str">
        <x:v>公表資料上の開始予定日 実施結果未照合</x:v>
      </x:c>
      <x:c r="F456" s="7" t="str">
        <x:v>予定</x:v>
      </x:c>
      <x:c r="G456" s="7" t="str">
        <x:v>地域事例</x:v>
      </x:c>
      <x:c r="H456" s="7" t="str">
        <x:v>その他府省・横断</x:v>
      </x:c>
      <x:c r="I456" s="7" t="str">
        <x:v>岐阜県と名古屋市</x:v>
      </x:c>
      <x:c r="J456" s="7" t="str"/>
      <x:c r="K456" s="18" t="n">
        <x:v>46189</x:v>
      </x:c>
      <x:c r="L456" s="7" t="str">
        <x:v>2026-06-16</x:v>
      </x:c>
      <x:c r="M456" s="18" t="n">
        <x:v>46326</x:v>
      </x:c>
      <x:c r="N456" s="7" t="str">
        <x:v>S303</x:v>
      </x:c>
      <x:c r="O456" s="7" t="str">
        <x:v>https://www.pref.gifu.lg.jp/site/pressrelease/503328.html</x:v>
      </x:c>
      <x:c r="P456" s="7" t="str"/>
      <x:c r="Q456" s="7" t="str">
        <x:v>EV-44263080a1be</x:v>
      </x:c>
      <x:c r="R456" s="7" t="str">
        <x:v>OTHER-C06</x:v>
      </x:c>
      <x:c r="S456" s="20" t="n">
        <x:v>2026</x:v>
      </x:c>
      <x:c r="T456" s="20" t="n">
        <x:v>6</x:v>
      </x:c>
      <x:c r="U456" s="7" t="str">
        <x:v>暦年・暦月</x:v>
      </x:c>
      <x:c r="V456" s="18" t="n">
        <x:v>46199</x:v>
      </x:c>
      <x:c r="W456" s="7" t="str">
        <x:v>SRC-de4ed058b3</x:v>
      </x:c>
      <x:c r="X456" s="7" t="str"/>
      <x:c r="Y456" s="20" t="n">
        <x:v>449</x:v>
      </x:c>
      <x:c r="Z456" s="7" t="str"/>
      <x:c r="AA456" s="7" t="str"/>
      <x:c r="AB456" s="7" t="str"/>
    </x:row>
    <x:row r="457" ht="30" customHeight="1">
      <x:c r="A457" s="7" t="str">
        <x:v>2026年6月29日</x:v>
      </x:c>
      <x:c r="B457" s="7" t="str">
        <x:v>日</x:v>
      </x:c>
      <x:c r="C457" s="7" t="str">
        <x:v>OTHER-C04</x:v>
      </x:c>
      <x:c r="D457" s="7" t="str">
        <x:v>大館市 ひないホッとライフ</x:v>
      </x:c>
      <x:c r="E457" s="7" t="str">
        <x:v>厚生局と運輸局の研修資料で当時事例を再掲 新規現況確認ではない</x:v>
      </x:c>
      <x:c r="F457" s="7" t="str">
        <x:v>過去成果再掲</x:v>
      </x:c>
      <x:c r="G457" s="7" t="str">
        <x:v>地域事例</x:v>
      </x:c>
      <x:c r="H457" s="7" t="str">
        <x:v>その他府省・横断</x:v>
      </x:c>
      <x:c r="I457" s="7" t="str">
        <x:v>秋田県大館市</x:v>
      </x:c>
      <x:c r="J457" s="7" t="str"/>
      <x:c r="K457" s="18" t="n">
        <x:v>46202</x:v>
      </x:c>
      <x:c r="L457" s="7" t="str">
        <x:v>2026-06-29</x:v>
      </x:c>
      <x:c r="M457" s="18" t="n">
        <x:v>46326</x:v>
      </x:c>
      <x:c r="N457" s="7" t="str">
        <x:v>S339</x:v>
      </x:c>
      <x:c r="O457" s="7" t="str">
        <x:v>https://wwwtb.mlit.go.jp/kanto/content/000378309.pdf</x:v>
      </x:c>
      <x:c r="P457" s="7" t="str"/>
      <x:c r="Q457" s="7" t="str">
        <x:v>EV-0d438416b19f</x:v>
      </x:c>
      <x:c r="R457" s="7" t="str">
        <x:v>OTHER-C04</x:v>
      </x:c>
      <x:c r="S457" s="20" t="n">
        <x:v>2026</x:v>
      </x:c>
      <x:c r="T457" s="20" t="n">
        <x:v>6</x:v>
      </x:c>
      <x:c r="U457" s="7" t="str">
        <x:v>暦年・暦月</x:v>
      </x:c>
      <x:c r="V457" s="18" t="n">
        <x:v>46202</x:v>
      </x:c>
      <x:c r="W457" s="7" t="str">
        <x:v>SRC-ade126a9f0</x:v>
      </x:c>
      <x:c r="X457" s="7" t="str"/>
      <x:c r="Y457" s="20" t="n">
        <x:v>450</x:v>
      </x:c>
      <x:c r="Z457" s="7" t="str"/>
      <x:c r="AA457" s="7" t="str"/>
      <x:c r="AB457" s="7" t="str"/>
    </x:row>
    <x:row r="458" ht="30" customHeight="1">
      <x:c r="A458" s="7" t="str">
        <x:v>2026年6月29日</x:v>
      </x:c>
      <x:c r="B458" s="7" t="str">
        <x:v>日</x:v>
      </x:c>
      <x:c r="C458" s="7" t="str">
        <x:v>OTHER-C05</x:v>
      </x:c>
      <x:c r="D458" s="7" t="str">
        <x:v>名張市 隠おたがいさん等生活支援</x:v>
      </x:c>
      <x:c r="E458" s="7" t="str">
        <x:v>合同研修資料で当時事例を再掲</x:v>
      </x:c>
      <x:c r="F458" s="7" t="str">
        <x:v>過去成果再掲</x:v>
      </x:c>
      <x:c r="G458" s="7" t="str">
        <x:v>地域事例</x:v>
      </x:c>
      <x:c r="H458" s="7" t="str">
        <x:v>その他府省・横断</x:v>
      </x:c>
      <x:c r="I458" s="7" t="str">
        <x:v>三重県名張市</x:v>
      </x:c>
      <x:c r="J458" s="7" t="str"/>
      <x:c r="K458" s="18" t="n">
        <x:v>46202</x:v>
      </x:c>
      <x:c r="L458" s="7" t="str">
        <x:v>2026-06-29</x:v>
      </x:c>
      <x:c r="M458" s="18" t="n">
        <x:v>46326</x:v>
      </x:c>
      <x:c r="N458" s="7" t="str">
        <x:v>S339</x:v>
      </x:c>
      <x:c r="O458" s="7" t="str">
        <x:v>https://wwwtb.mlit.go.jp/kanto/content/000378309.pdf</x:v>
      </x:c>
      <x:c r="P458" s="7" t="str"/>
      <x:c r="Q458" s="7" t="str">
        <x:v>EV-c5bafee7bc43</x:v>
      </x:c>
      <x:c r="R458" s="7" t="str">
        <x:v>OTHER-C05</x:v>
      </x:c>
      <x:c r="S458" s="20" t="n">
        <x:v>2026</x:v>
      </x:c>
      <x:c r="T458" s="20" t="n">
        <x:v>6</x:v>
      </x:c>
      <x:c r="U458" s="7" t="str">
        <x:v>暦年・暦月</x:v>
      </x:c>
      <x:c r="V458" s="18" t="n">
        <x:v>46202</x:v>
      </x:c>
      <x:c r="W458" s="7" t="str">
        <x:v>SRC-ade126a9f0</x:v>
      </x:c>
      <x:c r="X458" s="7" t="str"/>
      <x:c r="Y458" s="20" t="n">
        <x:v>451</x:v>
      </x:c>
      <x:c r="Z458" s="7" t="str"/>
      <x:c r="AA458" s="7" t="str"/>
      <x:c r="AB458" s="7" t="str"/>
    </x:row>
    <x:row r="459" ht="68.80000305175781" customHeight="1">
      <x:c r="A459" s="7" t="str">
        <x:v>2026年7月13日</x:v>
      </x:c>
      <x:c r="B459" s="7" t="str">
        <x:v>日</x:v>
      </x:c>
      <x:c r="C459" s="7" t="str">
        <x:v>DIG-C08</x:v>
      </x:c>
      <x:c r="D459" s="7" t="str">
        <x:v>美郷町の複数回線・長距離Wi-Fi・衛星通信</x:v>
      </x:c>
      <x:c r="E459" s="7" t="str">
        <x:v>FY2026実証概要にも美郷町を掲載。採択継続と恒久運営は別。</x:v>
      </x:c>
      <x:c r="F459" s="7" t="str">
        <x:v>次期実証採択</x:v>
      </x:c>
      <x:c r="G459" s="7" t="str">
        <x:v>地域事例</x:v>
      </x:c>
      <x:c r="H459" s="7" t="str">
        <x:v>総務省
三菱総合研究所（事務局）
地域コンソーシアム
内閣府・総務省・デジタル庁等</x:v>
      </x:c>
      <x:c r="I459" s="7" t="str">
        <x:v>島根県美郷町（粕渕・比之宮）</x:v>
      </x:c>
      <x:c r="J459" s="7" t="str">
        <x:v>DIG-P15</x:v>
      </x:c>
      <x:c r="K459" s="18"/>
      <x:c r="L459" s="7" t="str">
        <x:v>2026-08-07まで更新／2026-10-31閲覧</x:v>
      </x:c>
      <x:c r="M459" s="18" t="n">
        <x:v>46326</x:v>
      </x:c>
      <x:c r="N459" s="7" t="str">
        <x:v>S036</x:v>
      </x:c>
      <x:c r="O459" s="7" t="str">
        <x:v>https://pubpjt.mri.co.jp/pjt_related/rcsad-info/index.html</x:v>
      </x:c>
      <x:c r="P459" s="7" t="str"/>
      <x:c r="Q459" s="7" t="str">
        <x:v>EV-33a98dbe3e20</x:v>
      </x:c>
      <x:c r="R459" s="7" t="str">
        <x:v>DIG-C08</x:v>
      </x:c>
      <x:c r="S459" s="20" t="n">
        <x:v>2026</x:v>
      </x:c>
      <x:c r="T459" s="20" t="n">
        <x:v>7</x:v>
      </x:c>
      <x:c r="U459" s="7" t="str">
        <x:v>暦年・暦月</x:v>
      </x:c>
      <x:c r="V459" s="18" t="n">
        <x:v>46216</x:v>
      </x:c>
      <x:c r="W459" s="7" t="str">
        <x:v>SRC-dd614f096b</x:v>
      </x:c>
      <x:c r="X459" s="7" t="str"/>
      <x:c r="Y459" s="20" t="n">
        <x:v>452</x:v>
      </x:c>
      <x:c r="Z459" s="7" t="str"/>
      <x:c r="AA459" s="7" t="str"/>
      <x:c r="AB459" s="7" t="str"/>
    </x:row>
    <x:row r="460" ht="125.5999984741211" customHeight="1">
      <x:c r="A460" s="7" t="str">
        <x:v>2026年7月13日</x:v>
      </x:c>
      <x:c r="B460" s="7" t="str">
        <x:v>日</x:v>
      </x:c>
      <x:c r="C460" s="7" t="str">
        <x:v>DIG-C19</x:v>
      </x:c>
      <x:c r="D460" s="7" t="str">
        <x:v>日立市大甕駅周辺・自動運転サービス支援道</x:v>
      </x:c>
      <x:c r="E460" s="7" t="str">
        <x:v>MICのFY2026通信検証概要にも日立を掲載。複数府省の同地域支援。</x:v>
      </x:c>
      <x:c r="F460" s="7" t="str">
        <x:v>通信実証採択</x:v>
      </x:c>
      <x:c r="G460" s="7" t="str">
        <x:v>地域事例</x:v>
      </x:c>
      <x:c r="H460" s="7" t="str">
        <x:v>経済産業省
NEDO
IPA DADC
デジタル庁・デジタル行財政改革会議
デジタル庁
関係府省庁
地方自治体
内閣府・総務省・デジタル庁等</x:v>
      </x:c>
      <x:c r="I460" s="7" t="str">
        <x:v>茨城県日立市</x:v>
      </x:c>
      <x:c r="J460" s="7" t="str">
        <x:v>DIG-P16
DIG-P11</x:v>
      </x:c>
      <x:c r="K460" s="18"/>
      <x:c r="L460" s="7" t="str">
        <x:v>2026-08-07まで更新／2026-10-31閲覧</x:v>
      </x:c>
      <x:c r="M460" s="18" t="n">
        <x:v>46326</x:v>
      </x:c>
      <x:c r="N460" s="7" t="str">
        <x:v>S036</x:v>
      </x:c>
      <x:c r="O460" s="7" t="str">
        <x:v>https://pubpjt.mri.co.jp/pjt_related/rcsad-info/index.html</x:v>
      </x:c>
      <x:c r="P460" s="7" t="str"/>
      <x:c r="Q460" s="7" t="str">
        <x:v>EV-3c46d84fd9f4</x:v>
      </x:c>
      <x:c r="R460" s="7" t="str">
        <x:v>DIG-C19</x:v>
      </x:c>
      <x:c r="S460" s="20" t="n">
        <x:v>2026</x:v>
      </x:c>
      <x:c r="T460" s="20" t="n">
        <x:v>7</x:v>
      </x:c>
      <x:c r="U460" s="7" t="str">
        <x:v>暦年・暦月</x:v>
      </x:c>
      <x:c r="V460" s="18" t="n">
        <x:v>46216</x:v>
      </x:c>
      <x:c r="W460" s="7" t="str">
        <x:v>SRC-dd614f096b</x:v>
      </x:c>
      <x:c r="X460" s="7" t="str"/>
      <x:c r="Y460" s="20" t="n">
        <x:v>453</x:v>
      </x:c>
      <x:c r="Z460" s="7" t="str"/>
      <x:c r="AA460" s="7" t="str"/>
      <x:c r="AB460" s="7" t="str"/>
    </x:row>
    <x:row r="461" ht="54.599998474121094" customHeight="1">
      <x:c r="A461" s="7" t="str">
        <x:v>2026年7月13日</x:v>
      </x:c>
      <x:c r="B461" s="7" t="str">
        <x:v>日</x:v>
      </x:c>
      <x:c r="C461" s="7" t="str">
        <x:v>DIG-P15</x:v>
      </x:c>
      <x:c r="D461" s="7" t="str">
        <x:v>地域デジタル基盤活用推進／地域社会DX推進パッケージ：自動運転L4検証タイプ</x:v>
      </x:c>
      <x:c r="E461" s="7" t="str">
        <x:v>FY2026の12地域実証概要を公表。成果ではない。</x:v>
      </x:c>
      <x:c r="F461" s="7" t="str">
        <x:v>実証採択</x:v>
      </x:c>
      <x:c r="G461" s="7" t="str">
        <x:v>政策制度</x:v>
      </x:c>
      <x:c r="H461" s="7" t="str">
        <x:v>総務省
三菱総合研究所（事務局）
地域コンソーシアム</x:v>
      </x:c>
      <x:c r="I461" s="7" t="str"/>
      <x:c r="J461" s="7" t="str">
        <x:v>DIG-P15</x:v>
      </x:c>
      <x:c r="K461" s="18"/>
      <x:c r="L461" s="7" t="str">
        <x:v>2026-08-07まで更新／2026-10-31閲覧</x:v>
      </x:c>
      <x:c r="M461" s="18" t="n">
        <x:v>46326</x:v>
      </x:c>
      <x:c r="N461" s="7" t="str">
        <x:v>S036</x:v>
      </x:c>
      <x:c r="O461" s="7" t="str">
        <x:v>https://pubpjt.mri.co.jp/pjt_related/rcsad-info/index.html</x:v>
      </x:c>
      <x:c r="P461" s="7" t="str"/>
      <x:c r="Q461" s="7" t="str">
        <x:v>EV-894a80b97b1c</x:v>
      </x:c>
      <x:c r="R461" s="7" t="str">
        <x:v>DIG-P15</x:v>
      </x:c>
      <x:c r="S461" s="20" t="n">
        <x:v>2026</x:v>
      </x:c>
      <x:c r="T461" s="20" t="n">
        <x:v>7</x:v>
      </x:c>
      <x:c r="U461" s="7" t="str">
        <x:v>暦年・暦月</x:v>
      </x:c>
      <x:c r="V461" s="18" t="n">
        <x:v>46216</x:v>
      </x:c>
      <x:c r="W461" s="7" t="str">
        <x:v>SRC-dd614f096b</x:v>
      </x:c>
      <x:c r="X461" s="7" t="str"/>
      <x:c r="Y461" s="20" t="n">
        <x:v>454</x:v>
      </x:c>
      <x:c r="Z461" s="7" t="str"/>
      <x:c r="AA461" s="7" t="str"/>
      <x:c r="AB461" s="7" t="str"/>
    </x:row>
    <x:row r="462" ht="54.599998474121094" customHeight="1">
      <x:c r="A462" s="7" t="str">
        <x:v>2026年7月21日</x:v>
      </x:c>
      <x:c r="B462" s="7" t="str">
        <x:v>日</x:v>
      </x:c>
      <x:c r="C462" s="7" t="str">
        <x:v>DIG-P10</x:v>
      </x:c>
      <x:c r="D462" s="7" t="str">
        <x:v>モビリティ・ロードマップ／モビリティWG</x:v>
      </x:c>
      <x:c r="E462" s="7" t="str">
        <x:v>2026版は費用・需要・共同調達とサービス事業化を強調。2030年度1万台等は将来目標。</x:v>
      </x:c>
      <x:c r="F462" s="7" t="str">
        <x:v>戦略改訂</x:v>
      </x:c>
      <x:c r="G462" s="7" t="str">
        <x:v>政策制度</x:v>
      </x:c>
      <x:c r="H462" s="7" t="str">
        <x:v>デジタル庁
デジタル社会推進会議
関係府省</x:v>
      </x:c>
      <x:c r="I462" s="7" t="str"/>
      <x:c r="J462" s="7" t="str">
        <x:v>DIG-P10</x:v>
      </x:c>
      <x:c r="K462" s="18" t="n">
        <x:v>46224</x:v>
      </x:c>
      <x:c r="L462" s="7" t="str">
        <x:v>2026-07-21</x:v>
      </x:c>
      <x:c r="M462" s="18" t="n">
        <x:v>46326</x:v>
      </x:c>
      <x:c r="N462" s="7" t="str">
        <x:v>S129</x:v>
      </x:c>
      <x:c r="O462" s="7" t="str">
        <x:v>https://www.digital.go.jp/assets/contents/node/basic_page/field_ref_resources/2415ad00-6a79-4ebc-8fb1-51a47b1b0552/11045673/20260721_meeting_mobility_01.pdf</x:v>
      </x:c>
      <x:c r="P462" s="7" t="str"/>
      <x:c r="Q462" s="7" t="str">
        <x:v>EV-2f4d085a3117</x:v>
      </x:c>
      <x:c r="R462" s="7" t="str">
        <x:v>DIG-P10</x:v>
      </x:c>
      <x:c r="S462" s="20" t="n">
        <x:v>2026</x:v>
      </x:c>
      <x:c r="T462" s="20" t="n">
        <x:v>7</x:v>
      </x:c>
      <x:c r="U462" s="7" t="str">
        <x:v>暦年・暦月</x:v>
      </x:c>
      <x:c r="V462" s="18" t="n">
        <x:v>46224</x:v>
      </x:c>
      <x:c r="W462" s="7" t="str">
        <x:v>SRC-d458f87443</x:v>
      </x:c>
      <x:c r="X462" s="7" t="str"/>
      <x:c r="Y462" s="20" t="n">
        <x:v>455</x:v>
      </x:c>
      <x:c r="Z462" s="7" t="str"/>
      <x:c r="AA462" s="7" t="str"/>
      <x:c r="AB462" s="7" t="str"/>
    </x:row>
    <x:row r="463" ht="30" customHeight="1">
      <x:c r="A463" s="7" t="str">
        <x:v>2026年7月21日</x:v>
      </x:c>
      <x:c r="B463" s="7" t="str">
        <x:v>日</x:v>
      </x:c>
      <x:c r="C463" s="7" t="str">
        <x:v>OTHER-C03</x:v>
      </x:c>
      <x:c r="D463" s="7" t="str">
        <x:v>秦野市 訪問型移動支援サービスD</x:v>
      </x:c>
      <x:c r="E463" s="7" t="str">
        <x:v>県の外出支援案内に訪問型サービスDを掲載</x:v>
      </x:c>
      <x:c r="F463" s="7" t="str">
        <x:v>制度案内で確認</x:v>
      </x:c>
      <x:c r="G463" s="7" t="str">
        <x:v>地域事例</x:v>
      </x:c>
      <x:c r="H463" s="7" t="str">
        <x:v>その他府省・横断</x:v>
      </x:c>
      <x:c r="I463" s="7" t="str">
        <x:v>神奈川県秦野市</x:v>
      </x:c>
      <x:c r="J463" s="7" t="str"/>
      <x:c r="K463" s="18" t="n">
        <x:v>46224</x:v>
      </x:c>
      <x:c r="L463" s="7" t="str">
        <x:v>2026-07-21</x:v>
      </x:c>
      <x:c r="M463" s="18" t="n">
        <x:v>46326</x:v>
      </x:c>
      <x:c r="N463" s="7" t="str">
        <x:v>S305</x:v>
      </x:c>
      <x:c r="O463" s="7" t="str">
        <x:v>https://www.pref.kanagawa.jp/docs/u6s/cnt/f536479/p1137761.html</x:v>
      </x:c>
      <x:c r="P463" s="7" t="str"/>
      <x:c r="Q463" s="7" t="str">
        <x:v>EV-b21606a74229</x:v>
      </x:c>
      <x:c r="R463" s="7" t="str">
        <x:v>OTHER-C03</x:v>
      </x:c>
      <x:c r="S463" s="20" t="n">
        <x:v>2026</x:v>
      </x:c>
      <x:c r="T463" s="20" t="n">
        <x:v>7</x:v>
      </x:c>
      <x:c r="U463" s="7" t="str">
        <x:v>暦年・暦月</x:v>
      </x:c>
      <x:c r="V463" s="18" t="n">
        <x:v>46224</x:v>
      </x:c>
      <x:c r="W463" s="7" t="str">
        <x:v>SRC-2db3be579b</x:v>
      </x:c>
      <x:c r="X463" s="7" t="str"/>
      <x:c r="Y463" s="20" t="n">
        <x:v>456</x:v>
      </x:c>
      <x:c r="Z463" s="7" t="str"/>
      <x:c r="AA463" s="7" t="str"/>
      <x:c r="AB463" s="7" t="str"/>
    </x:row>
    <x:row r="464" ht="54.599998474121094" customHeight="1">
      <x:c r="A464" s="7" t="str">
        <x:v>2026年8月7日</x:v>
      </x:c>
      <x:c r="B464" s="7" t="str">
        <x:v>日</x:v>
      </x:c>
      <x:c r="C464" s="7" t="str">
        <x:v>DIG-P15</x:v>
      </x:c>
      <x:c r="D464" s="7" t="str">
        <x:v>地域デジタル基盤活用推進／地域社会DX推進パッケージ：自動運転L4検証タイプ</x:v>
      </x:c>
      <x:c r="E464" s="7" t="str">
        <x:v>第5回通信システム調整会議を開催。</x:v>
      </x:c>
      <x:c r="F464" s="7" t="str">
        <x:v>連携継続</x:v>
      </x:c>
      <x:c r="G464" s="7" t="str">
        <x:v>政策制度</x:v>
      </x:c>
      <x:c r="H464" s="7" t="str">
        <x:v>総務省
三菱総合研究所（事務局）
地域コンソーシアム</x:v>
      </x:c>
      <x:c r="I464" s="7" t="str"/>
      <x:c r="J464" s="7" t="str">
        <x:v>DIG-P15</x:v>
      </x:c>
      <x:c r="K464" s="18"/>
      <x:c r="L464" s="7" t="str">
        <x:v>2026-08-07まで更新／2026-10-31閲覧</x:v>
      </x:c>
      <x:c r="M464" s="18" t="n">
        <x:v>46326</x:v>
      </x:c>
      <x:c r="N464" s="7" t="str">
        <x:v>S036</x:v>
      </x:c>
      <x:c r="O464" s="7" t="str">
        <x:v>https://pubpjt.mri.co.jp/pjt_related/rcsad-info/index.html</x:v>
      </x:c>
      <x:c r="P464" s="7" t="str"/>
      <x:c r="Q464" s="7" t="str">
        <x:v>EV-e5240c55b7f4</x:v>
      </x:c>
      <x:c r="R464" s="7" t="str">
        <x:v>DIG-P15</x:v>
      </x:c>
      <x:c r="S464" s="20" t="n">
        <x:v>2026</x:v>
      </x:c>
      <x:c r="T464" s="20" t="n">
        <x:v>8</x:v>
      </x:c>
      <x:c r="U464" s="7" t="str">
        <x:v>暦年・暦月</x:v>
      </x:c>
      <x:c r="V464" s="18" t="n">
        <x:v>46241</x:v>
      </x:c>
      <x:c r="W464" s="7" t="str">
        <x:v>SRC-dd614f096b</x:v>
      </x:c>
      <x:c r="X464" s="7" t="str"/>
      <x:c r="Y464" s="20" t="n">
        <x:v>457</x:v>
      </x:c>
      <x:c r="Z464" s="7" t="str"/>
      <x:c r="AA464" s="7" t="str"/>
      <x:c r="AB464" s="7" t="str"/>
    </x:row>
    <x:row r="465" ht="30" customHeight="1">
      <x:c r="A465" s="7" t="str">
        <x:v>2026年10月1日</x:v>
      </x:c>
      <x:c r="B465" s="7" t="str">
        <x:v>日</x:v>
      </x:c>
      <x:c r="C465" s="7" t="str">
        <x:v>V-C11</x:v>
      </x:c>
      <x:c r="D465" s="7" t="str">
        <x:v>ふくいMaaS→はぴチケ</x:v>
      </x:c>
      <x:c r="E465" s="7" t="str">
        <x:v>現行サービスに2026年10月改編券案内</x:v>
      </x:c>
      <x:c r="F465" s="7" t="str">
        <x:v>改編継続</x:v>
      </x:c>
      <x:c r="G465" s="7" t="str">
        <x:v>地域事例</x:v>
      </x:c>
      <x:c r="H465" s="7" t="str">
        <x:v>横断検証（個別所管は資料参照）</x:v>
      </x:c>
      <x:c r="I465" s="7" t="str">
        <x:v>福井県福井市</x:v>
      </x:c>
      <x:c r="J465" s="7" t="str"/>
      <x:c r="K465" s="18"/>
      <x:c r="L465" s="7" t="str"/>
      <x:c r="M465" s="18" t="n">
        <x:v>46326</x:v>
      </x:c>
      <x:c r="N465" s="7" t="str">
        <x:v>S008</x:v>
      </x:c>
      <x:c r="O465" s="7" t="str">
        <x:v>https://fukuappli.jp/hapiticket/</x:v>
      </x:c>
      <x:c r="P465" s="7" t="str"/>
      <x:c r="Q465" s="7" t="str">
        <x:v>EV-b45ea8d8e879</x:v>
      </x:c>
      <x:c r="R465" s="7" t="str">
        <x:v>V-C11</x:v>
      </x:c>
      <x:c r="S465" s="20" t="n">
        <x:v>2026</x:v>
      </x:c>
      <x:c r="T465" s="20" t="n">
        <x:v>10</x:v>
      </x:c>
      <x:c r="U465" s="7" t="str">
        <x:v>暦年・暦月</x:v>
      </x:c>
      <x:c r="V465" s="18" t="n">
        <x:v>46296</x:v>
      </x:c>
      <x:c r="W465" s="7" t="str">
        <x:v>SRC-7d6913e3d4</x:v>
      </x:c>
      <x:c r="X465" s="7" t="str"/>
      <x:c r="Y465" s="20" t="n">
        <x:v>458</x:v>
      </x:c>
      <x:c r="Z465" s="7" t="str"/>
      <x:c r="AA465" s="7" t="str"/>
      <x:c r="AB465" s="7" t="str"/>
    </x:row>
    <x:row r="466" ht="30" customHeight="1">
      <x:c r="A466" s="7" t="str">
        <x:v>2026年10月1日</x:v>
      </x:c>
      <x:c r="B466" s="7" t="str">
        <x:v>日</x:v>
      </x:c>
      <x:c r="C466" s="7" t="str">
        <x:v>ENV-C04</x:v>
      </x:c>
      <x:c r="D466" s="7" t="str">
        <x:v>石見銀山ぎんざんカート</x:v>
      </x:c>
      <x:c r="E466" s="7" t="str">
        <x:v>土日祝増便・平日予約便等の試験運行へ</x:v>
      </x:c>
      <x:c r="F466" s="7" t="str">
        <x:v>運行改善実験</x:v>
      </x:c>
      <x:c r="G466" s="7" t="str">
        <x:v>地域事例</x:v>
      </x:c>
      <x:c r="H466" s="7" t="str">
        <x:v>環境省</x:v>
      </x:c>
      <x:c r="I466" s="7" t="str">
        <x:v>島根県大田市</x:v>
      </x:c>
      <x:c r="J466" s="7" t="str">
        <x:v>ENV-P02</x:v>
      </x:c>
      <x:c r="K466" s="18"/>
      <x:c r="L466" s="7" t="str">
        <x:v>2026-09-30掲載の運行変更案内</x:v>
      </x:c>
      <x:c r="M466" s="18" t="n">
        <x:v>46326</x:v>
      </x:c>
      <x:c r="N466" s="7" t="str">
        <x:v>S009</x:v>
      </x:c>
      <x:c r="O466" s="7" t="str">
        <x:v>https://gc.iwamiginzan.jp/ja</x:v>
      </x:c>
      <x:c r="P466" s="7" t="str"/>
      <x:c r="Q466" s="7" t="str">
        <x:v>EV-c521ee8376dc</x:v>
      </x:c>
      <x:c r="R466" s="7" t="str">
        <x:v>ENV-C04</x:v>
      </x:c>
      <x:c r="S466" s="20" t="n">
        <x:v>2026</x:v>
      </x:c>
      <x:c r="T466" s="20" t="n">
        <x:v>10</x:v>
      </x:c>
      <x:c r="U466" s="7" t="str">
        <x:v>暦年・暦月</x:v>
      </x:c>
      <x:c r="V466" s="18" t="n">
        <x:v>46296</x:v>
      </x:c>
      <x:c r="W466" s="7" t="str">
        <x:v>SRC-26242a4423</x:v>
      </x:c>
      <x:c r="X466" s="7" t="str"/>
      <x:c r="Y466" s="20" t="n">
        <x:v>459</x:v>
      </x:c>
      <x:c r="Z466" s="7" t="str"/>
      <x:c r="AA466" s="7" t="str"/>
      <x:c r="AB466" s="7" t="str"/>
    </x:row>
    <x:row r="467" ht="30" customHeight="1">
      <x:c r="A467" s="7" t="str">
        <x:v>2026年10月2日</x:v>
      </x:c>
      <x:c r="B467" s="7" t="str">
        <x:v>日</x:v>
      </x:c>
      <x:c r="C467" s="7" t="str">
        <x:v>V-C03</x:v>
      </x:c>
      <x:c r="D467" s="7" t="str">
        <x:v>上士幌自動運転</x:v>
      </x:c>
      <x:c r="E467" s="7" t="str">
        <x:v>ロボタクシー実証開始の案内</x:v>
      </x:c>
      <x:c r="F467" s="7" t="str">
        <x:v>別系統実証</x:v>
      </x:c>
      <x:c r="G467" s="7" t="str">
        <x:v>地域事例</x:v>
      </x:c>
      <x:c r="H467" s="7" t="str">
        <x:v>横断検証（個別所管は資料参照）</x:v>
      </x:c>
      <x:c r="I467" s="7" t="str">
        <x:v>北海道上士幌町</x:v>
      </x:c>
      <x:c r="J467" s="7" t="str"/>
      <x:c r="K467" s="18"/>
      <x:c r="L467" s="7" t="str"/>
      <x:c r="M467" s="18" t="n">
        <x:v>46326</x:v>
      </x:c>
      <x:c r="N467" s="7" t="str">
        <x:v>S188</x:v>
      </x:c>
      <x:c r="O467" s="7" t="str">
        <x:v>https://www.kamishihoro.jp/sp/self_driving_bus</x:v>
      </x:c>
      <x:c r="P467" s="7" t="str"/>
      <x:c r="Q467" s="7" t="str">
        <x:v>EV-5a91cd708aa1</x:v>
      </x:c>
      <x:c r="R467" s="7" t="str">
        <x:v>V-C03</x:v>
      </x:c>
      <x:c r="S467" s="20" t="n">
        <x:v>2026</x:v>
      </x:c>
      <x:c r="T467" s="20" t="n">
        <x:v>10</x:v>
      </x:c>
      <x:c r="U467" s="7" t="str">
        <x:v>暦年・暦月</x:v>
      </x:c>
      <x:c r="V467" s="18" t="n">
        <x:v>46297</x:v>
      </x:c>
      <x:c r="W467" s="7" t="str">
        <x:v>SRC-6bba5e5a9d</x:v>
      </x:c>
      <x:c r="X467" s="7" t="str"/>
      <x:c r="Y467" s="20" t="n">
        <x:v>460</x:v>
      </x:c>
      <x:c r="Z467" s="7" t="str"/>
      <x:c r="AA467" s="7" t="str"/>
      <x:c r="AB467" s="7" t="str"/>
    </x:row>
    <x:row r="468" ht="68.80000305175781" customHeight="1">
      <x:c r="A468" s="7" t="str">
        <x:v>2026年10月20日</x:v>
      </x:c>
      <x:c r="B468" s="7" t="str">
        <x:v>日</x:v>
      </x:c>
      <x:c r="C468" s="7" t="str">
        <x:v>DIG-P16</x:v>
      </x:c>
      <x:c r="D468" s="7" t="str">
        <x:v>デジタルライフライン全国総合整備計画／整備事業</x:v>
      </x:c>
      <x:c r="E468" s="7" t="str">
        <x:v>NEDO事業ページ更新、期間2025–2026年度、FY2026予算1.1億円。予算は支出実績ではない。</x:v>
      </x:c>
      <x:c r="F468" s="7" t="str">
        <x:v>予算と期間確認</x:v>
      </x:c>
      <x:c r="G468" s="7" t="str">
        <x:v>政策制度</x:v>
      </x:c>
      <x:c r="H468" s="7" t="str">
        <x:v>経済産業省
NEDO
IPA DADC
デジタル庁・デジタル行財政改革会議</x:v>
      </x:c>
      <x:c r="I468" s="7" t="str"/>
      <x:c r="J468" s="7" t="str">
        <x:v>DIG-P16</x:v>
      </x:c>
      <x:c r="K468" s="18" t="n">
        <x:v>46315</x:v>
      </x:c>
      <x:c r="L468" s="7" t="str">
        <x:v>2026-10-20</x:v>
      </x:c>
      <x:c r="M468" s="18" t="n">
        <x:v>46326</x:v>
      </x:c>
      <x:c r="N468" s="7" t="str">
        <x:v>S287</x:v>
      </x:c>
      <x:c r="O468" s="7" t="str">
        <x:v>https://www.nedo.go.jp/activities/ZZJP_100332.html</x:v>
      </x:c>
      <x:c r="P468" s="7" t="str"/>
      <x:c r="Q468" s="7" t="str">
        <x:v>EV-5aa5b3411b36</x:v>
      </x:c>
      <x:c r="R468" s="7" t="str">
        <x:v>DIG-P16</x:v>
      </x:c>
      <x:c r="S468" s="20" t="n">
        <x:v>2026</x:v>
      </x:c>
      <x:c r="T468" s="20" t="n">
        <x:v>10</x:v>
      </x:c>
      <x:c r="U468" s="7" t="str">
        <x:v>暦年・暦月</x:v>
      </x:c>
      <x:c r="V468" s="18" t="n">
        <x:v>46315</x:v>
      </x:c>
      <x:c r="W468" s="7" t="str">
        <x:v>SRC-5590a31409</x:v>
      </x:c>
      <x:c r="X468" s="7" t="str"/>
      <x:c r="Y468" s="20" t="n">
        <x:v>461</x:v>
      </x:c>
      <x:c r="Z468" s="7" t="str"/>
      <x:c r="AA468" s="7" t="str"/>
      <x:c r="AB468" s="7" t="str"/>
    </x:row>
    <x:row r="469" ht="40.400001525878906" customHeight="1">
      <x:c r="A469" s="7" t="str">
        <x:v>2026年10月27日</x:v>
      </x:c>
      <x:c r="B469" s="7" t="str">
        <x:v>日</x:v>
      </x:c>
      <x:c r="C469" s="7" t="str">
        <x:v>ENV-P01</x:v>
      </x:c>
      <x:c r="D469" s="7" t="str">
        <x:v>公共交通機関の低炭素化・利用促進設備整備から公共交通×脱炭素へ</x:v>
      </x:c>
      <x:c r="E469" s="7" t="str">
        <x:v>環境省がグリーンスローモビリティ導入促進の第3次公募を開始。公募は導入完了や年度効果ではない。</x:v>
      </x:c>
      <x:c r="F469" s="7" t="str">
        <x:v>公募開始</x:v>
      </x:c>
      <x:c r="G469" s="7" t="str">
        <x:v>政策制度</x:v>
      </x:c>
      <x:c r="H469" s="7" t="str">
        <x:v>環境省</x:v>
      </x:c>
      <x:c r="I469" s="7" t="str"/>
      <x:c r="J469" s="7" t="str">
        <x:v>ENV-P01</x:v>
      </x:c>
      <x:c r="K469" s="18" t="n">
        <x:v>46322</x:v>
      </x:c>
      <x:c r="L469" s="7" t="str">
        <x:v>2026-10-27</x:v>
      </x:c>
      <x:c r="M469" s="18" t="n">
        <x:v>46326</x:v>
      </x:c>
      <x:c r="N469" s="7" t="str">
        <x:v>S168</x:v>
      </x:c>
      <x:c r="O469" s="7" t="str">
        <x:v>https://www.env.go.jp/press/press_05761.html</x:v>
      </x:c>
      <x:c r="P469" s="7" t="str"/>
      <x:c r="Q469" s="7" t="str">
        <x:v>EV-1d432a890f55</x:v>
      </x:c>
      <x:c r="R469" s="7" t="str">
        <x:v>integrated</x:v>
      </x:c>
      <x:c r="S469" s="20" t="n">
        <x:v>2026</x:v>
      </x:c>
      <x:c r="T469" s="20" t="n">
        <x:v>10</x:v>
      </x:c>
      <x:c r="U469" s="7" t="str">
        <x:v>暦年・暦月</x:v>
      </x:c>
      <x:c r="V469" s="18" t="n">
        <x:v>46322</x:v>
      </x:c>
      <x:c r="W469" s="7" t="str">
        <x:v>SRC-3cc5111d85</x:v>
      </x:c>
      <x:c r="X469" s="7" t="str"/>
      <x:c r="Y469" s="20" t="n">
        <x:v>462</x:v>
      </x:c>
      <x:c r="Z469" s="7" t="str"/>
      <x:c r="AA469" s="7" t="str"/>
      <x:c r="AB469" s="7" t="str"/>
    </x:row>
    <x:row r="470" ht="40.400001525878906" customHeight="1">
      <x:c r="A470" s="7" t="str">
        <x:v>2026年10月31日</x:v>
      </x:c>
      <x:c r="B470" s="7" t="str">
        <x:v>日</x:v>
      </x:c>
      <x:c r="C470" s="7" t="str">
        <x:v>mlit_komono</x:v>
      </x:c>
      <x:c r="D470" s="7" t="str">
        <x:v>菰野町MaaS おでかけこもの</x:v>
      </x:c>
      <x:c r="E470" s="7" t="str">
        <x:v>予約ポータル稼働案内を確認</x:v>
      </x:c>
      <x:c r="F470" s="7" t="str">
        <x:v>継続確認</x:v>
      </x:c>
      <x:c r="G470" s="7" t="str">
        <x:v>地域事例</x:v>
      </x:c>
      <x:c r="H470" s="7" t="str">
        <x:v>国土交通省
経済産業省</x:v>
      </x:c>
      <x:c r="I470" s="7" t="str">
        <x:v>三重県菰野町</x:v>
      </x:c>
      <x:c r="J470" s="7" t="str">
        <x:v>smc</x:v>
      </x:c>
      <x:c r="K470" s="18"/>
      <x:c r="L470" s="7" t="str"/>
      <x:c r="M470" s="18" t="n">
        <x:v>46326</x:v>
      </x:c>
      <x:c r="N470" s="7" t="str">
        <x:v>S194</x:v>
      </x:c>
      <x:c r="O470" s="7" t="str">
        <x:v>https://www.kotsu.town.komono.mie.jp/</x:v>
      </x:c>
      <x:c r="P470" s="7" t="str"/>
      <x:c r="Q470" s="7" t="str">
        <x:v>EV-06f812634e59</x:v>
      </x:c>
      <x:c r="R470" s="7" t="str">
        <x:v>meti_komono</x:v>
      </x:c>
      <x:c r="S470" s="20" t="n">
        <x:v>2026</x:v>
      </x:c>
      <x:c r="T470" s="20" t="n">
        <x:v>10</x:v>
      </x:c>
      <x:c r="U470" s="7" t="str">
        <x:v>暦年・暦月</x:v>
      </x:c>
      <x:c r="V470" s="18" t="n">
        <x:v>46326</x:v>
      </x:c>
      <x:c r="W470" s="7" t="str">
        <x:v>SRC-8a9ae80cf1</x:v>
      </x:c>
      <x:c r="X470" s="7" t="str"/>
      <x:c r="Y470" s="20" t="n">
        <x:v>463</x:v>
      </x:c>
      <x:c r="Z470" s="7" t="str"/>
      <x:c r="AA470" s="7" t="str"/>
      <x:c r="AB470" s="7" t="str"/>
    </x:row>
    <x:row r="471" ht="40.400001525878906" customHeight="1">
      <x:c r="A471" s="7" t="str">
        <x:v>2026年10月31日</x:v>
      </x:c>
      <x:c r="B471" s="7" t="str">
        <x:v>日</x:v>
      </x:c>
      <x:c r="C471" s="7" t="str">
        <x:v>meti_ina</x:v>
      </x:c>
      <x:c r="D471" s="7" t="str">
        <x:v>ゆうあいマーケット</x:v>
      </x:c>
      <x:c r="E471" s="7" t="str">
        <x:v>買物支援案内とドローン終了告知を確認</x:v>
      </x:c>
      <x:c r="F471" s="7" t="str">
        <x:v>継続確認</x:v>
      </x:c>
      <x:c r="G471" s="7" t="str">
        <x:v>地域事例</x:v>
      </x:c>
      <x:c r="H471" s="7" t="str">
        <x:v>経済産業省</x:v>
      </x:c>
      <x:c r="I471" s="7" t="str">
        <x:v>長野県伊那市</x:v>
      </x:c>
      <x:c r="J471" s="7" t="str">
        <x:v>dress</x:v>
      </x:c>
      <x:c r="K471" s="18"/>
      <x:c r="L471" s="7" t="str"/>
      <x:c r="M471" s="18" t="n">
        <x:v>46326</x:v>
      </x:c>
      <x:c r="N471" s="7" t="str">
        <x:v>S183</x:v>
      </x:c>
      <x:c r="O471" s="7" t="str">
        <x:v>https://www.inacity.jp/shisei/inashiseisakusesaku/shinsangyougijutu/yuuaimarket/index.html</x:v>
      </x:c>
      <x:c r="P471" s="7" t="str"/>
      <x:c r="Q471" s="7" t="str">
        <x:v>EV-14e0dcc00a38</x:v>
      </x:c>
      <x:c r="R471" s="7" t="str">
        <x:v>meti_ina</x:v>
      </x:c>
      <x:c r="S471" s="20" t="n">
        <x:v>2026</x:v>
      </x:c>
      <x:c r="T471" s="20" t="n">
        <x:v>10</x:v>
      </x:c>
      <x:c r="U471" s="7" t="str">
        <x:v>暦年・暦月</x:v>
      </x:c>
      <x:c r="V471" s="18" t="n">
        <x:v>46326</x:v>
      </x:c>
      <x:c r="W471" s="7" t="str">
        <x:v>SRC-c94d4689db</x:v>
      </x:c>
      <x:c r="X471" s="7" t="str"/>
      <x:c r="Y471" s="20" t="n">
        <x:v>464</x:v>
      </x:c>
      <x:c r="Z471" s="7" t="str"/>
      <x:c r="AA471" s="7" t="str"/>
      <x:c r="AB471" s="7" t="str"/>
    </x:row>
    <x:row r="472" ht="68.80000305175781" customHeight="1">
      <x:c r="A472" s="7" t="str">
        <x:v>2026-10-31以前・取下げ日未記載</x:v>
      </x:c>
      <x:c r="B472" s="7" t="str">
        <x:v>不明</x:v>
      </x:c>
      <x:c r="C472" s="7" t="str">
        <x:v>DIG-C10</x:v>
      </x:c>
      <x:c r="D472" s="7" t="str">
        <x:v>福山市の緊急自動車位置情報・車両制御通信実証</x:v>
      </x:c>
      <x:c r="E472" s="7" t="str">
        <x:v>事業開始後に完遂困難となり総務省/事務局との協議を経て採択取下げ。個別理由と精算額不明。</x:v>
      </x:c>
      <x:c r="F472" s="7" t="str">
        <x:v>採択取下げ</x:v>
      </x:c>
      <x:c r="G472" s="7" t="str">
        <x:v>地域事例</x:v>
      </x:c>
      <x:c r="H472" s="7" t="str">
        <x:v>総務省
三菱総合研究所（事務局）
地域コンソーシアム
内閣府・総務省・デジタル庁等</x:v>
      </x:c>
      <x:c r="I472" s="7" t="str">
        <x:v>広島県福山市</x:v>
      </x:c>
      <x:c r="J472" s="7" t="str">
        <x:v>DIG-P15</x:v>
      </x:c>
      <x:c r="K472" s="18"/>
      <x:c r="L472" s="7" t="str">
        <x:v>2026-08-07まで更新／2026-10-31閲覧</x:v>
      </x:c>
      <x:c r="M472" s="18" t="n">
        <x:v>46326</x:v>
      </x:c>
      <x:c r="N472" s="7" t="str">
        <x:v>S036</x:v>
      </x:c>
      <x:c r="O472" s="7" t="str">
        <x:v>https://pubpjt.mri.co.jp/pjt_related/rcsad-info/index.html</x:v>
      </x:c>
      <x:c r="P472" s="7" t="str"/>
      <x:c r="Q472" s="7" t="str">
        <x:v>EV-874cc0577f20</x:v>
      </x:c>
      <x:c r="R472" s="7" t="str">
        <x:v>DIG-C10</x:v>
      </x:c>
      <x:c r="S472" s="20" t="n">
        <x:v>2026</x:v>
      </x:c>
      <x:c r="T472" s="20" t="n">
        <x:v>10</x:v>
      </x:c>
      <x:c r="U472" s="7" t="str">
        <x:v>不明</x:v>
      </x:c>
      <x:c r="V472" s="18"/>
      <x:c r="W472" s="7" t="str">
        <x:v>SRC-dd614f096b</x:v>
      </x:c>
      <x:c r="X472" s="7" t="str"/>
      <x:c r="Y472" s="20" t="n">
        <x:v>465</x:v>
      </x:c>
      <x:c r="Z472" s="7" t="str"/>
      <x:c r="AA472" s="7" t="str"/>
      <x:c r="AB472" s="7" t="str"/>
    </x:row>
    <x:row r="473" ht="40.400001525878906" customHeight="1">
      <x:c r="A473" s="7" t="str">
        <x:v>2026年10月31日</x:v>
      </x:c>
      <x:c r="B473" s="7" t="str">
        <x:v>確認日（事象日不明）</x:v>
      </x:c>
      <x:c r="C473" s="7" t="str">
        <x:v>ENV-C08</x:v>
      </x:c>
      <x:c r="D473" s="7" t="str">
        <x:v>NIKKO MaaS</x:v>
      </x:c>
      <x:c r="E473" s="7" t="str">
        <x:v>東武日光駅EV2台の掲載を確認</x:v>
      </x:c>
      <x:c r="F473" s="7" t="str">
        <x:v>サービス掲載継続</x:v>
      </x:c>
      <x:c r="G473" s="7" t="str">
        <x:v>地域事例</x:v>
      </x:c>
      <x:c r="H473" s="7" t="str">
        <x:v>環境省</x:v>
      </x:c>
      <x:c r="I473" s="7" t="str">
        <x:v>栃木県日光市</x:v>
      </x:c>
      <x:c r="J473" s="7" t="str">
        <x:v>ENV-P03</x:v>
      </x:c>
      <x:c r="K473" s="18"/>
      <x:c r="L473" s="7" t="str"/>
      <x:c r="M473" s="18" t="n">
        <x:v>46326</x:v>
      </x:c>
      <x:c r="N473" s="7" t="str">
        <x:v>S050</x:v>
      </x:c>
      <x:c r="O473" s="7" t="str">
        <x:v>https://station.orix-carshare.com/orix-carshare/spot/detail?code=st02701</x:v>
      </x:c>
      <x:c r="P473" s="7" t="str"/>
      <x:c r="Q473" s="7" t="str">
        <x:v>EV-c97fc9a2ab5b</x:v>
      </x:c>
      <x:c r="R473" s="7" t="str">
        <x:v>ENV-C08</x:v>
      </x:c>
      <x:c r="S473" s="20" t="n">
        <x:v>2026</x:v>
      </x:c>
      <x:c r="T473" s="20" t="n">
        <x:v>10</x:v>
      </x:c>
      <x:c r="U473" s="7" t="str">
        <x:v>確認日</x:v>
      </x:c>
      <x:c r="V473" s="18"/>
      <x:c r="W473" s="7" t="str">
        <x:v>SRC-75fc3a52d4</x:v>
      </x:c>
      <x:c r="X473" s="7" t="str"/>
      <x:c r="Y473" s="20" t="n">
        <x:v>466</x:v>
      </x:c>
      <x:c r="Z473" s="7" t="str"/>
      <x:c r="AA473" s="7" t="str"/>
      <x:c r="AB473" s="7" t="str"/>
    </x:row>
    <x:row r="474" ht="30" customHeight="1">
      <x:c r="A474" s="7" t="str">
        <x:v>日付未確認</x:v>
      </x:c>
      <x:c r="B474" s="7" t="str">
        <x:v>不明</x:v>
      </x:c>
      <x:c r="C474" s="7" t="str">
        <x:v>V-C02</x:v>
      </x:c>
      <x:c r="D474" s="7" t="str">
        <x:v>境町自動運転バス</x:v>
      </x:c>
      <x:c r="E474" s="7" t="str">
        <x:v>閲覧時は自動運転車メンテナンス休止、普通車で代替。開始日は未記載</x:v>
      </x:c>
      <x:c r="F474" s="7" t="str">
        <x:v>普通車代替</x:v>
      </x:c>
      <x:c r="G474" s="7" t="str">
        <x:v>地域事例</x:v>
      </x:c>
      <x:c r="H474" s="7" t="str">
        <x:v>横断検証（個別所管は資料参照）</x:v>
      </x:c>
      <x:c r="I474" s="7" t="str">
        <x:v>茨城県境町</x:v>
      </x:c>
      <x:c r="J474" s="7" t="str"/>
      <x:c r="K474" s="18"/>
      <x:c r="L474" s="7" t="str"/>
      <x:c r="M474" s="18" t="n">
        <x:v>46326</x:v>
      </x:c>
      <x:c r="N474" s="7" t="str">
        <x:v>S322</x:v>
      </x:c>
      <x:c r="O474" s="7" t="str">
        <x:v>https://www.town.ibaraki-sakai.lg.jp/mobile/page/page002440.html</x:v>
      </x:c>
      <x:c r="P474" s="7" t="str"/>
      <x:c r="Q474" s="7" t="str">
        <x:v>EV-31a9fadc1014</x:v>
      </x:c>
      <x:c r="R474" s="7" t="str">
        <x:v>V-C02</x:v>
      </x:c>
      <x:c r="S474" s="20"/>
      <x:c r="T474" s="20"/>
      <x:c r="U474" s="7" t="str">
        <x:v>不明</x:v>
      </x:c>
      <x:c r="V474" s="18"/>
      <x:c r="W474" s="7" t="str">
        <x:v>SRC-9077a9db2f</x:v>
      </x:c>
      <x:c r="X474" s="7" t="str"/>
      <x:c r="Y474" s="20" t="n">
        <x:v>467</x:v>
      </x:c>
      <x:c r="Z474" s="7" t="str"/>
      <x:c r="AA474" s="7" t="str"/>
      <x:c r="AB474" s="7" t="str"/>
    </x:row>
  </x:sheetData>
  <x:conditionalFormatting sqref="F8:F474">
    <x:cfRule type="containsText" dxfId="0" priority="1" operator="containsText" text="予定"/>
  </x:conditionalFormatting>
  <x:conditionalFormatting sqref="B8:B474">
    <x:cfRule type="containsText" dxfId="1" priority="2" operator="containsText" text="不明"/>
  </x:conditionalFormatting>
  <x:pageMargins left="0.7" right="0.7" top="0.75" bottom="0.75" header="0.3" footer="0.3"/>
  <x:tableParts count="1">
    <x:tablePart xmlns:r="http://schemas.openxmlformats.org/officeDocument/2006/relationships" r:id="R90ef393245a24a6b"/>
  </x:tableParts>
</x:worksheet>
</file>

<file path=xl/worksheets/sheet2.xml><?xml version="1.0" encoding="utf-8"?>
<x:worksheet xmlns:x="http://schemas.openxmlformats.org/spreadsheetml/2006/main">
  <x:sheetPr>
    <x:tabColor rgb="FF718C9E"/>
  </x:sheetPr>
  <x:sheetViews>
    <x:sheetView showGridLines="0" workbookViewId="0">
      <x:pane xSplit="2" ySplit="7" topLeftCell="C8" activePane="bottomRight" state="frozen"/>
    </x:sheetView>
  </x:sheetViews>
  <x:sheetFormatPr defaultRowHeight="15"/>
  <x:cols>
    <x:col min="1" max="1" width="18" hidden="0" customWidth="1"/>
    <x:col min="2" max="2" width="34" hidden="0" customWidth="1"/>
    <x:col min="3" max="3" width="22" hidden="0" customWidth="1"/>
    <x:col min="4" max="4" width="31" hidden="0" customWidth="1"/>
    <x:col min="5" max="5" width="15" hidden="0" customWidth="1"/>
    <x:col min="6" max="6" width="30" hidden="0" customWidth="1"/>
    <x:col min="7" max="7" width="35" hidden="0" customWidth="1"/>
    <x:col min="8" max="8" width="23" hidden="0" customWidth="1"/>
    <x:col min="9" max="9" width="23" hidden="0" customWidth="1"/>
    <x:col min="10" max="10" width="35" hidden="0" customWidth="1"/>
    <x:col min="11" max="11" width="50" hidden="0" customWidth="1"/>
    <x:col min="12" max="12" width="50" hidden="0" customWidth="1"/>
    <x:col min="13" max="13" width="52" hidden="0" customWidth="1"/>
    <x:col min="14" max="14" width="60" hidden="0" customWidth="1"/>
    <x:col min="15" max="15" width="63" hidden="0" customWidth="1"/>
    <x:col min="16" max="16" width="50" hidden="0" customWidth="1"/>
    <x:col min="17" max="17" width="53" hidden="0" customWidth="1"/>
    <x:col min="18" max="18" width="26" hidden="0" customWidth="1"/>
    <x:col min="19" max="19" width="21" hidden="0" customWidth="1"/>
    <x:col min="20" max="20" width="48" hidden="0" customWidth="1"/>
    <x:col min="21" max="21" width="60" hidden="0" customWidth="1"/>
    <x:col min="22" max="22" width="30"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ht="28" customHeight="1">
      <x:c r="A2" s="4" t="str">
        <x:v>地域事例の追跡台帳</x:v>
      </x:c>
      <x:c r="B2" s="4"/>
      <x:c r="C2" s="4"/>
      <x:c r="D2" s="4"/>
      <x:c r="E2" s="4"/>
      <x:c r="F2" s="4"/>
      <x:c r="G2" s="4"/>
      <x:c r="H2" s="4"/>
      <x:c r="I2" s="4"/>
      <x:c r="J2" s="4"/>
      <x:c r="K2" s="4"/>
      <x:c r="L2" s="4"/>
      <x:c r="M2" s="4"/>
      <x:c r="N2" s="4"/>
      <x:c r="O2" s="4"/>
      <x:c r="P2" s="4"/>
      <x:c r="Q2" s="4"/>
      <x:c r="R2" s="4"/>
      <x:c r="S2" s="4"/>
      <x:c r="T2" s="4"/>
      <x:c r="U2" s="4"/>
      <x:c r="V2" s="4"/>
    </x:row>
    <x:row r="3" ht="20" customHeight="1">
      <x:c r="A3" s="5" t="str">
        <x:v>1行が名寄せ後の追跡案件。現況は根拠時点に確認できた状態で、調査日までの運行継続を一律には意味しません。</x:v>
      </x:c>
      <x:c r="B3" s="5"/>
      <x:c r="C3" s="5"/>
      <x:c r="D3" s="5"/>
      <x:c r="E3" s="5"/>
      <x:c r="F3" s="5"/>
      <x:c r="G3" s="5"/>
      <x:c r="H3" s="5"/>
      <x:c r="I3" s="5"/>
      <x:c r="J3" s="5"/>
      <x:c r="K3" s="5"/>
      <x:c r="L3" s="5"/>
      <x:c r="M3" s="5"/>
      <x:c r="N3" s="5"/>
      <x:c r="O3" s="5"/>
      <x:c r="P3" s="5"/>
      <x:c r="Q3" s="5"/>
      <x:c r="R3" s="5"/>
      <x:c r="S3" s="5"/>
      <x:c r="T3" s="5"/>
      <x:c r="U3" s="5"/>
      <x:c r="V3" s="5"/>
    </x:row>
    <x:row r="4" ht="20" customHeight="1">
      <x:c r="A4" s="5" t="str">
        <x:v>開始・変更・休止・終了は「年表」の案件IDで確認。費用は予算・交付・支出・運営費を合算していません。</x:v>
      </x:c>
      <x:c r="B4" s="5"/>
      <x:c r="C4" s="5"/>
      <x:c r="D4" s="5"/>
      <x:c r="E4" s="5"/>
      <x:c r="F4" s="5"/>
      <x:c r="G4" s="5"/>
      <x:c r="H4" s="5"/>
      <x:c r="I4" s="5"/>
      <x:c r="J4" s="5"/>
      <x:c r="K4" s="5"/>
      <x:c r="L4" s="5"/>
      <x:c r="M4" s="5"/>
      <x:c r="N4" s="5"/>
      <x:c r="O4" s="5"/>
      <x:c r="P4" s="5"/>
      <x:c r="Q4" s="5"/>
      <x:c r="R4" s="5"/>
      <x:c r="S4" s="5"/>
      <x:c r="T4" s="5"/>
      <x:c r="U4" s="5"/>
      <x:c r="V4" s="5"/>
    </x:row>
    <x:row r="5">
      <x:c r="A5" s="2"/>
      <x:c r="B5" s="2"/>
      <x:c r="C5" s="2"/>
      <x:c r="D5" s="2"/>
      <x:c r="E5" s="2"/>
      <x:c r="F5" s="2"/>
      <x:c r="G5" s="2"/>
      <x:c r="H5" s="2"/>
      <x:c r="I5" s="2"/>
      <x:c r="J5" s="2"/>
      <x:c r="K5" s="2"/>
      <x:c r="L5" s="2"/>
      <x:c r="M5" s="2"/>
      <x:c r="N5" s="2"/>
      <x:c r="O5" s="2"/>
      <x:c r="P5" s="2"/>
      <x:c r="Q5" s="2"/>
      <x:c r="R5" s="2"/>
      <x:c r="S5" s="2"/>
      <x:c r="T5" s="2"/>
      <x:c r="U5" s="2"/>
      <x:c r="V5" s="2"/>
    </x:row>
    <x:row r="6" ht="8" customHeight="1">
      <x:c r="A6" s="2"/>
      <x:c r="B6" s="2"/>
      <x:c r="C6" s="2"/>
      <x:c r="D6" s="2"/>
      <x:c r="E6" s="2"/>
      <x:c r="F6" s="2"/>
      <x:c r="G6" s="2"/>
      <x:c r="H6" s="2"/>
      <x:c r="I6" s="2"/>
      <x:c r="J6" s="2"/>
      <x:c r="K6" s="2"/>
      <x:c r="L6" s="2"/>
      <x:c r="M6" s="2"/>
      <x:c r="N6" s="2"/>
      <x:c r="O6" s="2"/>
      <x:c r="P6" s="2"/>
      <x:c r="Q6" s="2"/>
      <x:c r="R6" s="2"/>
      <x:c r="S6" s="2"/>
      <x:c r="T6" s="2"/>
      <x:c r="U6" s="2"/>
      <x:c r="V6" s="2"/>
    </x:row>
    <x:row r="7" ht="34" customHeight="1">
      <x:c r="A7" s="11" t="str">
        <x:v>案件ID</x:v>
      </x:c>
      <x:c r="B7" s="12" t="str">
        <x:v>名称</x:v>
      </x:c>
      <x:c r="C7" s="12" t="str">
        <x:v>地域</x:v>
      </x:c>
      <x:c r="D7" s="12" t="str">
        <x:v>現況・確認できた状態</x:v>
      </x:c>
      <x:c r="E7" s="12" t="str">
        <x:v>根拠時点</x:v>
      </x:c>
      <x:c r="F7" s="12" t="str">
        <x:v>所管・関係府省</x:v>
      </x:c>
      <x:c r="G7" s="12" t="str">
        <x:v>実施・運営主体</x:v>
      </x:c>
      <x:c r="H7" s="12" t="str">
        <x:v>期間（原記載）</x:v>
      </x:c>
      <x:c r="I7" s="12" t="str">
        <x:v>関連制度ID</x:v>
      </x:c>
      <x:c r="J7" s="12" t="str">
        <x:v>制度の帰属記述</x:v>
      </x:c>
      <x:c r="K7" s="12" t="str">
        <x:v>介入・実施内容</x:v>
      </x:c>
      <x:c r="L7" s="12" t="str">
        <x:v>実施成果（アウトプット）</x:v>
      </x:c>
      <x:c r="M7" s="12" t="str">
        <x:v>利用・社会成果（アウトカム）</x:v>
      </x:c>
      <x:c r="N7" s="12" t="str">
        <x:v>制約・未確認事項</x:v>
      </x:c>
      <x:c r="O7" s="12" t="str">
        <x:v>費用・財源（原記載）</x:v>
      </x:c>
      <x:c r="P7" s="12" t="str">
        <x:v>公共価値・利用機会</x:v>
      </x:c>
      <x:c r="Q7" s="12" t="str">
        <x:v>最新運行等の補足</x:v>
      </x:c>
      <x:c r="R7" s="12" t="str">
        <x:v>別名・旧ID</x:v>
      </x:c>
      <x:c r="S7" s="12" t="str">
        <x:v>出典番号</x:v>
      </x:c>
      <x:c r="T7" s="12" t="str">
        <x:v>主要根拠URL</x:v>
      </x:c>
      <x:c r="U7" s="12" t="str">
        <x:v>その他の根拠URL</x:v>
      </x:c>
      <x:c r="V7" s="13" t="str">
        <x:v>出典ID</x:v>
      </x:c>
    </x:row>
    <x:row r="8" ht="54.599998474121094" customHeight="1">
      <x:c r="A8" s="7" t="str">
        <x:v>mlit_showa</x:v>
      </x:c>
      <x:c r="B8" s="7" t="str">
        <x:v>道の駅庄和 宅配ロッカー</x:v>
      </x:c>
      <x:c r="C8" s="7" t="str">
        <x:v>埼玉県春日部市</x:v>
      </x:c>
      <x:c r="D8" s="7" t="str">
        <x:v>実験開始確認・終了実績未検証</x:v>
      </x:c>
      <x:c r="E8" s="18" t="n">
        <x:v>42824</x:v>
      </x:c>
      <x:c r="F8" s="7" t="str">
        <x:v>国土交通省</x:v>
      </x:c>
      <x:c r="G8" s="7" t="str">
        <x:v>国交省
自治体
宅配事業者</x:v>
      </x:c>
      <x:c r="H8" s="7" t="str">
        <x:v>2016～2018予定</x:v>
      </x:c>
      <x:c r="I8" s="7" t="str">
        <x:v>locker_program</x:v>
      </x:c>
      <x:c r="J8" s="7" t="str"/>
      <x:c r="K8" s="7" t="str">
        <x:v>道の駅で再配達荷物等を受け取る共有ロッカー</x:v>
      </x:c>
      <x:c r="L8" s="7" t="str">
        <x:v>2016-10-24開始</x:v>
      </x:c>
      <x:c r="M8" s="7" t="str">
        <x:v>再配達削減の実測値は未取得</x:v>
      </x:c>
      <x:c r="N8" s="7" t="str">
        <x:v>開始は対象期間の7日前。2018-03は当時の終了予定であり実績ではない。</x:v>
      </x:c>
      <x:c r="O8" s="7" t="str">
        <x:v>区分: 未確認
注記: 今回確認した資料では個別総事業費・交付額を特定せず</x:v>
      </x:c>
      <x:c r="P8" s="7" t="str"/>
      <x:c r="Q8" s="7" t="str"/>
      <x:c r="R8" s="7" t="str">
        <x:v>mlit_showa</x:v>
      </x:c>
      <x:c r="S8" s="7" t="str">
        <x:v>S244
S123</x:v>
      </x:c>
      <x:c r="T8" s="7" t="str">
        <x:v>https://www.mlit.go.jp/report/press/road01_hh_000755.html</x:v>
      </x:c>
      <x:c r="U8" s="7" t="str">
        <x:v>https://www.city.yokohama.lg.jp/kurashi/machizukuri-kankyo/kotsu/toshikotsu/seisaku/kako/past.files/0150_20210203.pdf</x:v>
      </x:c>
      <x:c r="V8" s="7" t="str">
        <x:v>SRC-25f967230a
SRC-dc35151b94</x:v>
      </x:c>
    </x:row>
    <x:row r="9" ht="40.400001525878906" customHeight="1">
      <x:c r="A9" s="7" t="str">
        <x:v>mlit_nishikata</x:v>
      </x:c>
      <x:c r="B9" s="7" t="str">
        <x:v>道の駅にしかた 自動運転</x:v>
      </x:c>
      <x:c r="C9" s="7" t="str">
        <x:v>栃木県栃木市</x:v>
      </x:c>
      <x:c r="D9" s="7" t="str">
        <x:v>短期実証確認・実装未検証</x:v>
      </x:c>
      <x:c r="E9" s="18" t="str">
        <x:v>2017-09</x:v>
      </x:c>
      <x:c r="F9" s="7" t="str">
        <x:v>国土交通省関東地方整備局
国土交通省</x:v>
      </x:c>
      <x:c r="G9" s="7" t="str">
        <x:v>国交省関東地方整備局
地域実験協議会</x:v>
      </x:c>
      <x:c r="H9" s="7" t="str">
        <x:v>2017</x:v>
      </x:c>
      <x:c r="I9" s="7" t="str">
        <x:v>roadstation</x:v>
      </x:c>
      <x:c r="J9" s="7" t="str"/>
      <x:c r="K9" s="7" t="str">
        <x:v>道の駅と周辺を6人乗りバスで接続</x:v>
      </x:c>
      <x:c r="L9" s="7" t="str">
        <x:v>2017-09-02～09-09実験</x:v>
      </x:c>
      <x:c r="M9" s="7" t="str">
        <x:v>個別の恒常運行・省人化効果未確認</x:v>
      </x:c>
      <x:c r="N9" s="7" t="str">
        <x:v>公表主体の報告。反実仮想を置く因果評価・2026-10-31時点の運行継続は別途未検証。</x:v>
      </x:c>
      <x:c r="O9" s="7" t="str">
        <x:v>区分: 未確認
注記: 今回確認した資料では個別総事業費・交付額を特定せず</x:v>
      </x:c>
      <x:c r="P9" s="7" t="str"/>
      <x:c r="Q9" s="7" t="str"/>
      <x:c r="R9" s="7" t="str">
        <x:v>mlit_nishikata</x:v>
      </x:c>
      <x:c r="S9" s="7" t="str">
        <x:v>S196
S195</x:v>
      </x:c>
      <x:c r="T9" s="7" t="str">
        <x:v>https://www.ktr.mlit.go.jp/road/chiiki/road_chiiki00000127.html</x:v>
      </x:c>
      <x:c r="U9" s="7" t="str">
        <x:v>https://www.ktr.mlit.go.jp/ktr_content/content/000809002.pdf</x:v>
      </x:c>
      <x:c r="V9" s="7" t="str">
        <x:v>SRC-1d9f8b59a3
SRC-413409abe3</x:v>
      </x:c>
    </x:row>
    <x:row r="10" ht="40.400001525878906" customHeight="1">
      <x:c r="A10" s="7" t="str">
        <x:v>mlit_hitachiota</x:v>
      </x:c>
      <x:c r="B10" s="7" t="str">
        <x:v>道の駅ひたちおおた 自動運転・貨客混載</x:v>
      </x:c>
      <x:c r="C10" s="7" t="str">
        <x:v>茨城県常陸太田市</x:v>
      </x:c>
      <x:c r="D10" s="7" t="str">
        <x:v>短期実証後、別の実装支援継続を確認</x:v>
      </x:c>
      <x:c r="E10" s="18" t="n">
        <x:v>45644</x:v>
      </x:c>
      <x:c r="F10" s="7" t="str">
        <x:v>国土交通省関東地方整備局
国土交通省</x:v>
      </x:c>
      <x:c r="G10" s="7" t="str">
        <x:v>国交省関東地方整備局
常陸太田市</x:v>
      </x:c>
      <x:c r="H10" s="7" t="str">
        <x:v>2017
2022～2027支援予定</x:v>
      </x:c>
      <x:c r="I10" s="7" t="str"/>
      <x:c r="J10" s="7" t="str">
        <x:v>roadstation / av_infra</x:v>
      </x:c>
      <x:c r="K10" s="7" t="str">
        <x:v>自動運転車で野菜等を道の駅へ集め高速バスへ積み替え</x:v>
      </x:c>
      <x:c r="L10" s="7" t="str">
        <x:v>2017-11の実験、2022選定支援の2027-03まで延長</x:v>
      </x:c>
      <x:c r="M10" s="7" t="str">
        <x:v>同一路線・同一サービスが無中断で続いたとは確認できない</x:v>
      </x:c>
      <x:c r="N10" s="7" t="str">
        <x:v>2017実験期間は資料に18日/19日開始の差。月精度で扱う。後年支援の路線・事業内容同一性を要確認。</x:v>
      </x:c>
      <x:c r="O10" s="7" t="str">
        <x:v>区分: 未確認
注記: 今回確認した資料では個別総事業費・交付額を特定せず</x:v>
      </x:c>
      <x:c r="P10" s="7" t="str"/>
      <x:c r="Q10" s="7" t="str"/>
      <x:c r="R10" s="7" t="str">
        <x:v>mlit_hitachiota</x:v>
      </x:c>
      <x:c r="S10" s="7" t="str">
        <x:v>S195
S253</x:v>
      </x:c>
      <x:c r="T10" s="7" t="str">
        <x:v>https://www.ktr.mlit.go.jp/ktr_content/content/000809002.pdf</x:v>
      </x:c>
      <x:c r="U10" s="7" t="str">
        <x:v>https://www.mlit.go.jp/road/ITS/j-html/automatic-driving-service_r4.html</x:v>
      </x:c>
      <x:c r="V10" s="7" t="str">
        <x:v>SRC-413409abe3
SRC-e7c4fe10e7</x:v>
      </x:c>
    </x:row>
    <x:row r="11" ht="139.8000030517578" customHeight="1">
      <x:c r="A11" s="7" t="str">
        <x:v>mlit_kamikoani</x:v>
      </x:c>
      <x:c r="B11" s="7" t="str">
        <x:v>道の駅かみこあに 自動運転サービス</x:v>
      </x:c>
      <x:c r="C11" s="7" t="str">
        <x:v>秋田県上小阿仁村</x:v>
      </x:c>
      <x:c r="D11" s="7" t="str">
        <x:v>本格運行後の休止・再開と2025年運営調査を確認。2026実績未確定</x:v>
      </x:c>
      <x:c r="E11" s="18" t="str">
        <x:v>2025年1月参照の調査資料、2026-10-31閲覧</x:v>
      </x:c>
      <x:c r="F11" s="7" t="str">
        <x:v>国土交通省・SIP
国土交通省道路局
内閣府SIP2
内閣府CSTI
NEDO
関係省庁
国土交通省
内閣府・総務省・デジタル庁等
横断検証（個別所管は資料参照）</x:v>
      </x:c>
      <x:c r="G11" s="7" t="str">
        <x:v>上小阿仁村
NPO上小阿仁村移送サービス協会
国交省・SIP</x:v>
      </x:c>
      <x:c r="H11" s="7" t="str">
        <x:v>2017～</x:v>
      </x:c>
      <x:c r="I11" s="7" t="str">
        <x:v>roadstation
DIG-P03</x:v>
      </x:c>
      <x:c r="J11" s="7" t="str"/>
      <x:c r="K11" s="7" t="str">
        <x:v>生活拠点・集落を低速電動車で接続</x:v>
      </x:c>
      <x:c r="L11" s="7" t="str">
        <x:v>2019-11-30全国初本格導入
2023運休後再開</x:v>
      </x:c>
      <x:c r="M11" s="7" t="str">
        <x:v>開始・再開を確認。最新の収支・住民利用・2026運行頻度は未検証</x:v>
      </x:c>
      <x:c r="N11" s="7" t="str">
        <x:v>監視要員を伴う低速サービス。公表の「本格導入」を無人L4の達成と読み替えない。</x:v>
      </x:c>
      <x:c r="O11" s="7" t="str">
        <x:v>区分: 未確認
注記: 今回確認した資料では個別総事業費・交付額を特定せず</x:v>
      </x:c>
      <x:c r="P11" s="7" t="str"/>
      <x:c r="Q11" s="7" t="str"/>
      <x:c r="R11" s="7" t="str">
        <x:v>mlit_kamikoani
DIG-C02
V-C14</x:v>
      </x:c>
      <x:c r="S11" s="7" t="str">
        <x:v>S295
S245
S021
S022
S023
S028</x:v>
      </x:c>
      <x:c r="T11" s="7" t="str">
        <x:v>https://www.nilim.go.jp/lab/bcg/siryou/tnn/tnn1161pdf/ks1161.pdf</x:v>
      </x:c>
      <x:c r="U11" s="7" t="str">
        <x:v>https://www.mlit.go.jp/report/press/road01_hh_001258.html
https://michinoeki-kamikoani.jp/news_cat/
https://michinoeki-kamikoani.jp/news_cat/7667/
https://michinoeki-kamikoani.jp/self_driving_service/
https://pubpjt.mri.co.jp/pjt_related/rcsad-info/eqghpc000000030i-att/20250610rcsad-info_case2.pdf</x:v>
      </x:c>
      <x:c r="V11" s="7" t="str">
        <x:v>SRC-63f5ab671c
SRC-d434c18491
SRC-5e7d755892
SRC-d2efbb104e
SRC-2a4e51c86c
SRC-0f43c3a686</x:v>
      </x:c>
    </x:row>
    <x:row r="12" ht="111.4000015258789" customHeight="1">
      <x:c r="A12" s="7" t="str">
        <x:v>mlit_okueigenji</x:v>
      </x:c>
      <x:c r="B12" s="7" t="str">
        <x:v>奥永源寺渓流の里 自動運転</x:v>
      </x:c>
      <x:c r="C12" s="7" t="str">
        <x:v>滋賀県東近江市</x:v>
      </x:c>
      <x:c r="D12" s="7" t="str">
        <x:v>本格運行・2025実績公開</x:v>
      </x:c>
      <x:c r="E12" s="18" t="str">
        <x:v>2025-11</x:v>
      </x:c>
      <x:c r="F12" s="7" t="str">
        <x:v>国土交通省近畿地方整備局
国土交通省</x:v>
      </x:c>
      <x:c r="G12" s="7" t="str">
        <x:v>東近江市
地域実験協議会
国交省近畿地方整備局</x:v>
      </x:c>
      <x:c r="H12" s="7" t="str">
        <x:v>2017～2025実績</x:v>
      </x:c>
      <x:c r="I12" s="7" t="str">
        <x:v>roadstation</x:v>
      </x:c>
      <x:c r="J12" s="7" t="str"/>
      <x:c r="K12" s="7" t="str">
        <x:v>道の駅と集落を低速車で接続、少量貨物輸送</x:v>
      </x:c>
      <x:c r="L12" s="7" t="str">
        <x:v>2021-04-23本格導入
運賃150円/回・貨物100円
2025-11まで累計5850人</x:v>
      </x:c>
      <x:c r="M12" s="7" t="str">
        <x:v>利用の継続を確認するが、収支自立・純省人化は未検証</x:v>
      </x:c>
      <x:c r="N12" s="7" t="str">
        <x:v>累計5850を2025年年間人数としない。2017専用空間L4実験を後年一般道の無人運行と同一視しない。2026-01掲載別PDFの日付誤記疑いは除外。</x:v>
      </x:c>
      <x:c r="O12" s="7" t="str">
        <x:v>区分: 未確認
注記: 今回確認した資料では個別総事業費・交付額を特定せず</x:v>
      </x:c>
      <x:c r="P12" s="7" t="str"/>
      <x:c r="Q12" s="7" t="str"/>
      <x:c r="R12" s="7" t="str">
        <x:v>mlit_okueigenji</x:v>
      </x:c>
      <x:c r="S12" s="7" t="str">
        <x:v>S189
S190
S192
S193
S191</x:v>
      </x:c>
      <x:c r="T12" s="7" t="str">
        <x:v>https://www.kkr.mlit.go.jp/news/top/press/2017/20171102-4.html</x:v>
      </x:c>
      <x:c r="U12" s="7" t="str">
        <x:v>https://www.kkr.mlit.go.jp/news/top/press/2019/sih68m0000001y8m-att/191107-2jidouunten.pdf
https://www.kkr.mlit.go.jp/road/dgmx/jidouunten/okueigenji.html
https://www.kkr.mlit.go.jp/road/dgmx/jidouunten/or2riv000001md9t-att/c9us5e00000aj7zp.pdf
https://www.kkr.mlit.go.jp/road/dgmx/jidouunten/l3qeuq000000fxfr-att/r9733f000003de1k.pdf</x:v>
      </x:c>
      <x:c r="V12" s="7" t="str">
        <x:v>SRC-ff582e59bf
SRC-a094a2d09e
SRC-6c5dc4fc02
SRC-6f5bff755a
SRC-7d81d5caf8</x:v>
      </x:c>
    </x:row>
    <x:row r="13" ht="68.80000305175781" customHeight="1">
      <x:c r="A13" s="7" t="str">
        <x:v>mlit_miyama</x:v>
      </x:c>
      <x:c r="B13" s="7" t="str">
        <x:v>みやま市山川 自動運転</x:v>
      </x:c>
      <x:c r="C13" s="7" t="str">
        <x:v>福岡県みやま市</x:v>
      </x:c>
      <x:c r="D13" s="7" t="str">
        <x:v>運行終了・地域交通体系見直し</x:v>
      </x:c>
      <x:c r="E13" s="18" t="n">
        <x:v>45382</x:v>
      </x:c>
      <x:c r="F13" s="7" t="str">
        <x:v>国土交通省・SIP
国土交通省</x:v>
      </x:c>
      <x:c r="G13" s="7" t="str">
        <x:v>みやま市
交通事業者
国交省・SIP</x:v>
      </x:c>
      <x:c r="H13" s="7" t="str">
        <x:v>2018～2024</x:v>
      </x:c>
      <x:c r="I13" s="7" t="str">
        <x:v>roadstation</x:v>
      </x:c>
      <x:c r="J13" s="7" t="str"/>
      <x:c r="K13" s="7" t="str">
        <x:v>ルフラン～山川市民センター～地元商店7.2km、乗客4人、時速12km</x:v>
      </x:c>
      <x:c r="L13" s="7" t="str">
        <x:v>2021-07-19本格運行
FY2023利用159人</x:v>
      </x:c>
      <x:c r="M13" s="7" t="str">
        <x:v>2024-03-31終了。利便・安全を考慮した路線廃止と他路線見直しを決算報告に明記</x:v>
      </x:c>
      <x:c r="N13" s="7" t="str">
        <x:v>委託料は車両等含む総ライフサイクル費でない。2018/2023経緯PDFは検索抽出のみで直接取得404。</x:v>
      </x:c>
      <x:c r="O13" s="7" t="str">
        <x:v>区分: case_operating_contract
年度: 2023
額（円）: 3897446
注記: 自動運転運行委託料。全コミュニティバス事業52,243,414円と混同しない</x:v>
      </x:c>
      <x:c r="P13" s="7" t="str"/>
      <x:c r="Q13" s="7" t="str"/>
      <x:c r="R13" s="7" t="str">
        <x:v>mlit_miyama</x:v>
      </x:c>
      <x:c r="S13" s="7" t="str">
        <x:v>S093
S333
S092</x:v>
      </x:c>
      <x:c r="T13" s="7" t="str">
        <x:v>https://www.city.miyama.lg.jp/s068/kurashi/giandaiichigo.pdf</x:v>
      </x:c>
      <x:c r="U13" s="7" t="str">
        <x:v>https://www8.cao.go.jp/cstp/stmain/20210712sipadus.html
https://www.city.miyama.lg.jp/s008/shisei/070/020/R5syuyousesaku.pdf</x:v>
      </x:c>
      <x:c r="V13" s="7" t="str">
        <x:v>SRC-f2fb94be7b
SRC-9d6b6f68ea
SRC-10c4bb0955</x:v>
      </x:c>
    </x:row>
    <x:row r="14" ht="68.80000305175781" customHeight="1">
      <x:c r="A14" s="7" t="str">
        <x:v>mlit_iinan</x:v>
      </x:c>
      <x:c r="B14" s="7" t="str">
        <x:v>赤来高原・赤名地区 自動運転赤名線</x:v>
      </x:c>
      <x:c r="C14" s="7" t="str">
        <x:v>島根県飯南町</x:v>
      </x:c>
      <x:c r="D14" s="7" t="str">
        <x:v>休止継続・車両再活用検討</x:v>
      </x:c>
      <x:c r="E14" s="18" t="str">
        <x:v>2026</x:v>
      </x:c>
      <x:c r="F14" s="7" t="str">
        <x:v>国土交通省・SIP
国土交通省</x:v>
      </x:c>
      <x:c r="G14" s="7" t="str">
        <x:v>飯南町
国交省・SIP</x:v>
      </x:c>
      <x:c r="H14" s="7" t="str">
        <x:v>2017～2026</x:v>
      </x:c>
      <x:c r="I14" s="7" t="str">
        <x:v>roadstation</x:v>
      </x:c>
      <x:c r="J14" s="7" t="str"/>
      <x:c r="K14" s="7" t="str">
        <x:v>道の駅等を拠点とした低速生活交通</x:v>
      </x:c>
      <x:c r="L14" s="7" t="str">
        <x:v>2021-10運行開始
2022議会報告累計486人、平日3.3/休日4.0人日、町外約8割</x:v>
      </x:c>
      <x:c r="M14" s="7" t="str">
        <x:v>住民利用が伸びず2024-03末休止。2026計画でも休止を明記</x:v>
      </x:c>
      <x:c r="N14" s="7" t="str">
        <x:v>2022累計の厳密な観測日は報告本文の「先月12日」。2026活用研究は再開実績ではない。</x:v>
      </x:c>
      <x:c r="O14" s="7" t="str">
        <x:v>区分: 未確認
注記: 今回確認した資料では個別総事業費・交付額を特定せず</x:v>
      </x:c>
      <x:c r="P14" s="7" t="str"/>
      <x:c r="Q14" s="7" t="str"/>
      <x:c r="R14" s="7" t="str">
        <x:v>mlit_iinan</x:v>
      </x:c>
      <x:c r="S14" s="7" t="str">
        <x:v>S295
S176
S177
S178</x:v>
      </x:c>
      <x:c r="T14" s="7" t="str">
        <x:v>https://www.nilim.go.jp/lab/bcg/siryou/tnn/tnn1161pdf/ks1161.pdf</x:v>
      </x:c>
      <x:c r="U14" s="7" t="str">
        <x:v>https://www.iinan.jp/soshiki/6/4799.html
https://www.iinan.jp/uploaded/attachment/5148.pdf
https://www.iinan.jp/uploaded/attachment/7631.pdf</x:v>
      </x:c>
      <x:c r="V14" s="7" t="str">
        <x:v>SRC-63f5ab671c
SRC-fea7df62a9
SRC-99e75edb33
SRC-e3e51bf75a</x:v>
      </x:c>
    </x:row>
    <x:row r="15" ht="54.599998474121094" customHeight="1">
      <x:c r="A15" s="7" t="str">
        <x:v>mlit_fukuyama</x:v>
      </x:c>
      <x:c r="B15" s="7" t="str">
        <x:v>鞆の浦グリーンスローモビリティ</x:v>
      </x:c>
      <x:c r="C15" s="7" t="str">
        <x:v>広島県福山市</x:v>
      </x:c>
      <x:c r="D15" s="7" t="str">
        <x:v>実証からタクシー事業へ移行確認</x:v>
      </x:c>
      <x:c r="E15" s="18" t="n">
        <x:v>43574</x:v>
      </x:c>
      <x:c r="F15" s="7" t="str">
        <x:v>国土交通省</x:v>
      </x:c>
      <x:c r="G15" s="7" t="str">
        <x:v>福山市
アサヒタクシー
国交省</x:v>
      </x:c>
      <x:c r="H15" s="7" t="str">
        <x:v>2018～</x:v>
      </x:c>
      <x:c r="I15" s="7" t="str">
        <x:v>gsm</x:v>
      </x:c>
      <x:c r="J15" s="7" t="str"/>
      <x:c r="K15" s="7" t="str">
        <x:v>狭隘な歴史地区・観光地を小型低速電動車で移動</x:v>
      </x:c>
      <x:c r="L15" s="7" t="str">
        <x:v>2018-11実証
2019-04-19タクシー営業開始</x:v>
      </x:c>
      <x:c r="M15" s="7" t="str">
        <x:v>運行への移行は確認、収支・健康・観光消費効果は未検証</x:v>
      </x:c>
      <x:c r="N15" s="7" t="str">
        <x:v>導入後の運行情報は環境省掲載資料による。2026-10時点頻度は未検証。</x:v>
      </x:c>
      <x:c r="O15" s="7" t="str">
        <x:v>区分: 未確認
注記: 今回確認した資料では個別総事業費・交付額を特定せず</x:v>
      </x:c>
      <x:c r="P15" s="7" t="str"/>
      <x:c r="Q15" s="7" t="str"/>
      <x:c r="R15" s="7" t="str">
        <x:v>mlit_fukuyama</x:v>
      </x:c>
      <x:c r="S15" s="7" t="str">
        <x:v>S068
S002</x:v>
      </x:c>
      <x:c r="T15" s="7" t="str">
        <x:v>https://www.city.fukuyama.hiroshima.jp/site/shicho/137014.html</x:v>
      </x:c>
      <x:c r="U15" s="7" t="str">
        <x:v>https://chushikoku.env.go.jp/content/000128710.pdf</x:v>
      </x:c>
      <x:c r="V15" s="7" t="str">
        <x:v>SRC-14f79fae36
SRC-b3c49faa5c</x:v>
      </x:c>
    </x:row>
    <x:row r="16" ht="54.599998474121094" customHeight="1">
      <x:c r="A16" s="7" t="str">
        <x:v>mlit_miyazaki</x:v>
      </x:c>
      <x:c r="B16" s="7" t="str">
        <x:v>西都–西米良 貨客混載共同輸送</x:v>
      </x:c>
      <x:c r="C16" s="7" t="str">
        <x:v>宮崎県西都市・西米良村</x:v>
      </x:c>
      <x:c r="D16" s="7" t="str">
        <x:v>共同輸送開始確認・最新継続未検証</x:v>
      </x:c>
      <x:c r="E16" s="18" t="n">
        <x:v>43151</x:v>
      </x:c>
      <x:c r="F16" s="7" t="str">
        <x:v>国土交通省</x:v>
      </x:c>
      <x:c r="G16" s="7" t="str">
        <x:v>宮崎交通
ヤマト運輸
日本郵便</x:v>
      </x:c>
      <x:c r="H16" s="7" t="str">
        <x:v>2018～</x:v>
      </x:c>
      <x:c r="I16" s="7" t="str">
        <x:v>cargo_mix</x:v>
      </x:c>
      <x:c r="J16" s="7" t="str"/>
      <x:c r="K16" s="7" t="str">
        <x:v>路線バスの既存貨物輸送に郵便を合わせ共同輸送</x:v>
      </x:c>
      <x:c r="L16" s="7" t="str">
        <x:v>郵便の3往復中1往復を既存バス輸送へ</x:v>
      </x:c>
      <x:c r="M16" s="7" t="str">
        <x:v>年間CO2 12.7t、運転時間377.5時間削減は開始時の見込み</x:v>
      </x:c>
      <x:c r="N16" s="7" t="str">
        <x:v>推計と実測を分離。2015ヤマト単独開始は前史。</x:v>
      </x:c>
      <x:c r="O16" s="7" t="str">
        <x:v>区分: 未確認
注記: 今回確認した資料では個別総事業費・交付額を特定せず</x:v>
      </x:c>
      <x:c r="P16" s="7" t="str"/>
      <x:c r="Q16" s="7" t="str"/>
      <x:c r="R16" s="7" t="str">
        <x:v>mlit_miyazaki</x:v>
      </x:c>
      <x:c r="S16" s="7" t="str">
        <x:v>S250</x:v>
      </x:c>
      <x:c r="T16" s="7" t="str">
        <x:v>https://www.mlit.go.jp/report/press/tokatsu01_hh_000373.html</x:v>
      </x:c>
      <x:c r="U16" s="7" t="str"/>
      <x:c r="V16" s="7" t="str">
        <x:v>SRC-1be1fcb435</x:v>
      </x:c>
    </x:row>
    <x:row r="17" ht="83" customHeight="1">
      <x:c r="A17" s="7" t="str">
        <x:v>mlit_izuko</x:v>
      </x:c>
      <x:c r="B17" s="7" t="str">
        <x:v>観光型MaaS Izuko</x:v>
      </x:c>
      <x:c r="C17" s="7" t="str">
        <x:v>静岡県伊豆半島・静岡方面</x:v>
      </x:c>
      <x:c r="D17" s="7" t="str">
        <x:v>Phase3実証終了・その後同サービス継続未検証</x:v>
      </x:c>
      <x:c r="E17" s="18" t="n">
        <x:v>44313</x:v>
      </x:c>
      <x:c r="F17" s="7" t="str">
        <x:v>国土交通省</x:v>
      </x:c>
      <x:c r="G17" s="7" t="str">
        <x:v>東急（旧東京急行電鉄）
JR東日本
JR東日本企画
伊豆急行
地域交通・観光事業者</x:v>
      </x:c>
      <x:c r="H17" s="7" t="str">
        <x:v>2019～2021</x:v>
      </x:c>
      <x:c r="I17" s="7" t="str">
        <x:v>maas_japan</x:v>
      </x:c>
      <x:c r="J17" s="7" t="str"/>
      <x:c r="K17" s="7" t="str">
        <x:v>鉄道・バス・オンデマンドと観光商品の検索予約決済</x:v>
      </x:c>
      <x:c r="L17" s="7" t="str">
        <x:v>Phase1アプリ→Phase2ウェブ化
Phase3観光商品125種、販売3647枚（Phase2 5121枚）</x:v>
      </x:c>
      <x:c r="M17" s="7" t="str">
        <x:v>ダウンロード成功と購入低迷が併存。商品・エリア拡大でもPhase3総販売は減少</x:v>
      </x:c>
      <x:c r="N17" s="7" t="str">
        <x:v>期間・エリア・商品数が違い、コロナ禍もあるため単純な因果比較不可。終了は当該実験、地域MaaS全体の廃止ではない。</x:v>
      </x:c>
      <x:c r="O17" s="7" t="str">
        <x:v>区分: 未確認
注記: 今回確認した資料では個別総事業費・交付額を特定せず</x:v>
      </x:c>
      <x:c r="P17" s="7" t="str"/>
      <x:c r="Q17" s="7" t="str"/>
      <x:c r="R17" s="7" t="str">
        <x:v>mlit_izuko</x:v>
      </x:c>
      <x:c r="S17" s="7" t="str">
        <x:v>S271
S320
S227
S321</x:v>
      </x:c>
      <x:c r="T17" s="7" t="str">
        <x:v>https://www.mlit.go.jp/sogoseisaku/transport/sosei_transport_tk_000160.html</x:v>
      </x:c>
      <x:c r="U17" s="7" t="str">
        <x:v>https://www.tokyu.co.jp/company/news/pdf/20190529-1.pdf
https://www.mlit.go.jp/common/001334283.pdf
https://www.tokyu.co.jp/company/news/pdf/20210427-1.pdf</x:v>
      </x:c>
      <x:c r="V17" s="7" t="str">
        <x:v>SRC-dc31021747
SRC-72cd986399
SRC-97183ed106
SRC-ee011dca8a</x:v>
      </x:c>
    </x:row>
    <x:row r="18" ht="40.400001525878906" customHeight="1">
      <x:c r="A18" s="7" t="str">
        <x:v>mlit_dento</x:v>
      </x:c>
      <x:c r="B18" s="7" t="str">
        <x:v>DENTO 郊外型MaaS</x:v>
      </x:c>
      <x:c r="C18" s="7" t="str">
        <x:v>神奈川県・東京都 田園都市線沿線</x:v>
      </x:c>
      <x:c r="D18" s="7" t="str">
        <x:v>実証終了・後継未検証</x:v>
      </x:c>
      <x:c r="E18" s="18" t="n">
        <x:v>44327</x:v>
      </x:c>
      <x:c r="F18" s="7" t="str">
        <x:v>国土交通省</x:v>
      </x:c>
      <x:c r="G18" s="7" t="str">
        <x:v>東急
地域事業者</x:v>
      </x:c>
      <x:c r="H18" s="7" t="str">
        <x:v>2021</x:v>
      </x:c>
      <x:c r="I18" s="7" t="str">
        <x:v>maas_japan</x:v>
      </x:c>
      <x:c r="J18" s="7" t="str"/>
      <x:c r="K18" s="7" t="str">
        <x:v>交通と沿線ワークプレース等を連携</x:v>
      </x:c>
      <x:c r="L18" s="7" t="str">
        <x:v>2021-01-13～04-28実証
会員1万人、チケット2.3万枚</x:v>
      </x:c>
      <x:c r="M18" s="7" t="str">
        <x:v>登録・取引実績。自家用車削減や収支は別途未確認</x:v>
      </x:c>
      <x:c r="N18" s="7" t="str">
        <x:v>公表主体の報告。反実仮想を置く因果評価・2026-10-31時点の運行継続は別途未検証。</x:v>
      </x:c>
      <x:c r="O18" s="7" t="str">
        <x:v>区分: 未確認
注記: 今回確認した資料では個別総事業費・交付額を特定せず</x:v>
      </x:c>
      <x:c r="P18" s="7" t="str"/>
      <x:c r="Q18" s="7" t="str"/>
      <x:c r="R18" s="7" t="str">
        <x:v>mlit_dento</x:v>
      </x:c>
      <x:c r="S18" s="7" t="str">
        <x:v>S271
S319</x:v>
      </x:c>
      <x:c r="T18" s="7" t="str">
        <x:v>https://www.mlit.go.jp/sogoseisaku/transport/sosei_transport_tk_000160.html</x:v>
      </x:c>
      <x:c r="U18" s="7" t="str">
        <x:v>https://www.tokyu.co.jp/company/news/detail/321.html</x:v>
      </x:c>
      <x:c r="V18" s="7" t="str">
        <x:v>SRC-dc31021747
SRC-ebdd15ebf0</x:v>
      </x:c>
    </x:row>
    <x:row r="19" ht="83" customHeight="1">
      <x:c r="A19" s="7" t="str">
        <x:v>mlit_saitama</x:v>
      </x:c>
      <x:c r="B19" s="7" t="str">
        <x:v>美園 AIオンデマンド・ライフサポート型MaaS</x:v>
      </x:c>
      <x:c r="C19" s="7" t="str">
        <x:v>埼玉県さいたま市美園地区</x:v>
      </x:c>
      <x:c r="D19" s="7" t="str">
        <x:v>モデル採択から実証・結果報告を確認</x:v>
      </x:c>
      <x:c r="E19" s="18" t="str">
        <x:v>2021-08</x:v>
      </x:c>
      <x:c r="F19" s="7" t="str">
        <x:v>国土交通省</x:v>
      </x:c>
      <x:c r="G19" s="7" t="str">
        <x:v>さいたま市
美園タウンマネジメント
計量計画研究所
NTTドコモ
埼玉大学ほか</x:v>
      </x:c>
      <x:c r="H19" s="7" t="str">
        <x:v>2019～2021</x:v>
      </x:c>
      <x:c r="I19" s="7" t="str">
        <x:v>smartcity</x:v>
      </x:c>
      <x:c r="J19" s="7" t="str"/>
      <x:c r="K19" s="7" t="str">
        <x:v>駅・生活施設を結ぶAIオンデマンド、料金別需要検証</x:v>
      </x:c>
      <x:c r="L19" s="7" t="str">
        <x:v>28日で104実利用者、延べ479人（視察除く）</x:v>
      </x:c>
      <x:c r="M19" s="7" t="str">
        <x:v>無料34.6人/日、300円8.7人/日、200円16.4人/日。価格・日付・期間が異なるため純料金効果と断定不可</x:v>
      </x:c>
      <x:c r="N19" s="7" t="str">
        <x:v>登録465人・視察込み612人と一般利用479人を区別。後年サービス継続は未検証。</x:v>
      </x:c>
      <x:c r="O19" s="7" t="str">
        <x:v>区分: 未確認
注記: 今回確認した資料では個別総事業費・交付額を特定せず</x:v>
      </x:c>
      <x:c r="P19" s="7" t="str"/>
      <x:c r="Q19" s="7" t="str"/>
      <x:c r="R19" s="7" t="str">
        <x:v>mlit_saitama</x:v>
      </x:c>
      <x:c r="S19" s="7" t="str">
        <x:v>S276
S278</x:v>
      </x:c>
      <x:c r="T19" s="7" t="str">
        <x:v>https://www.mlit.go.jp/toshi/tosiko/content/001475403.pdf</x:v>
      </x:c>
      <x:c r="U19" s="7" t="str">
        <x:v>https://www.mlit.go.jp/toshi/tosiko/toshi_tosiko_tk_000051.html</x:v>
      </x:c>
      <x:c r="V19" s="7" t="str">
        <x:v>SRC-b6d2a3cc97
SRC-289bea058a</x:v>
      </x:c>
    </x:row>
    <x:row r="20" ht="68.80000305175781" customHeight="1">
      <x:c r="A20" s="7" t="str">
        <x:v>mlit_komono</x:v>
      </x:c>
      <x:c r="B20" s="7" t="str">
        <x:v>菰野町MaaS おでかけこもの</x:v>
      </x:c>
      <x:c r="C20" s="7" t="str">
        <x:v>三重県菰野町</x:v>
      </x:c>
      <x:c r="D20" s="7" t="str">
        <x:v>2024年度成果報告と2026年の予約ポータル案内を確認。利用増・収支改善は未確定</x:v>
      </x:c>
      <x:c r="E20" s="18" t="str">
        <x:v>2024年度成果、予約案内2026-10-31確認</x:v>
      </x:c>
      <x:c r="F20" s="7" t="str">
        <x:v>国土交通省
経済産業省</x:v>
      </x:c>
      <x:c r="G20" s="7" t="str">
        <x:v>菰野町
NTTコミュニケーションズ</x:v>
      </x:c>
      <x:c r="H20" s="7" t="str">
        <x:v>FY2024</x:v>
      </x:c>
      <x:c r="I20" s="7" t="str">
        <x:v>maas_japan
smc</x:v>
      </x:c>
      <x:c r="J20" s="7" t="str"/>
      <x:c r="K20" s="7" t="str">
        <x:v>OD・属性分析、UI改善、デジタル券、スマホ教室</x:v>
      </x:c>
      <x:c r="L20" s="7" t="str">
        <x:v>月平均アクセス約6000増
職員作業約30時間削減（集計期間は不明）</x:v>
      </x:c>
      <x:c r="M20" s="7" t="str">
        <x:v>乗車人数・デジタルチケット販売は伸び悩み。デジタル接触増加と移動利用増加は一致しない</x:v>
      </x:c>
      <x:c r="N20" s="7" t="str">
        <x:v>自己報告の単年度成果。機能整備・登録・主観評価を、実需増加や補助後自立と読み替えない。</x:v>
      </x:c>
      <x:c r="O20" s="7" t="str">
        <x:v>区分: 未確認
注記: 今回確認した資料では個別総事業費・交付額を特定せず</x:v>
      </x:c>
      <x:c r="P20" s="7" t="str"/>
      <x:c r="Q20" s="7" t="str"/>
      <x:c r="R20" s="7" t="str">
        <x:v>mlit_komono
meti_komono</x:v>
      </x:c>
      <x:c r="S20" s="7" t="str">
        <x:v>S265
S271
S194
S281</x:v>
      </x:c>
      <x:c r="T20" s="7" t="str">
        <x:v>https://www.mlit.go.jp/sogoseisaku/transport/content/001891600.pdf</x:v>
      </x:c>
      <x:c r="U20" s="7" t="str">
        <x:v>https://www.mlit.go.jp/sogoseisaku/transport/sosei_transport_tk_000160.html
https://www.kotsu.town.komono.mie.jp/
https://www.mobilitychallenge.go.jp/introduction/</x:v>
      </x:c>
      <x:c r="V20" s="7" t="str">
        <x:v>SRC-d2d0151df3
SRC-dc31021747
SRC-8a9ae80cf1
SRC-ac2f0f15e2</x:v>
      </x:c>
    </x:row>
    <x:row r="21" ht="68.80000305175781" customHeight="1">
      <x:c r="A21" s="7" t="str">
        <x:v>mlit_universal</x:v>
      </x:c>
      <x:c r="B21" s="7" t="str">
        <x:v>Universal MaaS</x:v>
      </x:c>
      <x:c r="C21" s="7" t="str">
        <x:v>旭川・東京等から全国航空便へ</x:v>
      </x:c>
      <x:c r="D21" s="7" t="str">
        <x:v>年度実績報告あり／次年度以降継続は個別未検証</x:v>
      </x:c>
      <x:c r="E21" s="18" t="str">
        <x:v>FY2024</x:v>
      </x:c>
      <x:c r="F21" s="7" t="str">
        <x:v>国土交通省</x:v>
      </x:c>
      <x:c r="G21" s="7" t="str">
        <x:v>ANA
日立製作所
京急・京成等
自治体・ホテル</x:v>
      </x:c>
      <x:c r="H21" s="7" t="str">
        <x:v>FY2024</x:v>
      </x:c>
      <x:c r="I21" s="7" t="str">
        <x:v>maas_japan</x:v>
      </x:c>
      <x:c r="J21" s="7" t="str"/>
      <x:c r="K21" s="7" t="str">
        <x:v>障害等に応じた一括移動支援予約、交通・宿泊API連携</x:v>
      </x:c>
      <x:c r="L21" s="7" t="str">
        <x:v>ANA全国便へ対象拡大
約100ホテル予約可能
4地域でマップ追加完成</x:v>
      </x:c>
      <x:c r="M21" s="7" t="str">
        <x:v>機能・連携の拡充。移動達成率や介助待ち時間の定量値は未掲載</x:v>
      </x:c>
      <x:c r="N21" s="7" t="str">
        <x:v>自己報告の単年度成果。機能整備・登録・主観評価を、実需増加や補助後自立と読み替えない。</x:v>
      </x:c>
      <x:c r="O21" s="7" t="str">
        <x:v>区分: 未確認
注記: 今回確認した資料では個別総事業費・交付額を特定せず</x:v>
      </x:c>
      <x:c r="P21" s="7" t="str"/>
      <x:c r="Q21" s="7" t="str"/>
      <x:c r="R21" s="7" t="str">
        <x:v>mlit_universal</x:v>
      </x:c>
      <x:c r="S21" s="7" t="str">
        <x:v>S259
S271</x:v>
      </x:c>
      <x:c r="T21" s="7" t="str">
        <x:v>https://www.mlit.go.jp/sogoseisaku/transport/content/001891586.pdf</x:v>
      </x:c>
      <x:c r="U21" s="7" t="str">
        <x:v>https://www.mlit.go.jp/sogoseisaku/transport/sosei_transport_tk_000160.html</x:v>
      </x:c>
      <x:c r="V21" s="7" t="str">
        <x:v>SRC-311a30ee58
SRC-dc31021747</x:v>
      </x:c>
    </x:row>
    <x:row r="22" ht="40.400001525878906" customHeight="1">
      <x:c r="A22" s="7" t="str">
        <x:v>mlit_gunmadata</x:v>
      </x:c>
      <x:c r="B22" s="7" t="str">
        <x:v>群馬県地域公共交通計画DX</x:v>
      </x:c>
      <x:c r="C22" s="7" t="str">
        <x:v>群馬県みなかみ町・渋川市</x:v>
      </x:c>
      <x:c r="D22" s="7" t="str">
        <x:v>年度実績報告あり／次年度以降継続は個別未検証</x:v>
      </x:c>
      <x:c r="E22" s="18" t="str">
        <x:v>FY2024</x:v>
      </x:c>
      <x:c r="F22" s="7" t="str">
        <x:v>国土交通省</x:v>
      </x:c>
      <x:c r="G22" s="7" t="str">
        <x:v>MaaS Tech Japan
県・自治体</x:v>
      </x:c>
      <x:c r="H22" s="7" t="str">
        <x:v>FY2024</x:v>
      </x:c>
      <x:c r="I22" s="7" t="str">
        <x:v>maas_japan</x:v>
      </x:c>
      <x:c r="J22" s="7" t="str"/>
      <x:c r="K22" s="7" t="str">
        <x:v>GTFS・運行報告・需要・人口を統合した計画支援DB</x:v>
      </x:c>
      <x:c r="L22" s="7" t="str">
        <x:v>データベース・可視化システム整備</x:v>
      </x:c>
      <x:c r="M22" s="7" t="str">
        <x:v>職員評価は負担軽減等3.7/5（3=変化なし）、県域俯瞰4.0/5。実測工数でない</x:v>
      </x:c>
      <x:c r="N22" s="7" t="str">
        <x:v>自己報告の単年度成果。機能整備・登録・主観評価を、実需増加や補助後自立と読み替えない。</x:v>
      </x:c>
      <x:c r="O22" s="7" t="str">
        <x:v>区分: 未確認
注記: 今回確認した資料では個別総事業費・交付額を特定せず</x:v>
      </x:c>
      <x:c r="P22" s="7" t="str"/>
      <x:c r="Q22" s="7" t="str"/>
      <x:c r="R22" s="7" t="str">
        <x:v>mlit_gunmadata</x:v>
      </x:c>
      <x:c r="S22" s="7" t="str">
        <x:v>S263
S271</x:v>
      </x:c>
      <x:c r="T22" s="7" t="str">
        <x:v>https://www.mlit.go.jp/sogoseisaku/transport/content/001891590.pdf</x:v>
      </x:c>
      <x:c r="U22" s="7" t="str">
        <x:v>https://www.mlit.go.jp/sogoseisaku/transport/sosei_transport_tk_000160.html</x:v>
      </x:c>
      <x:c r="V22" s="7" t="str">
        <x:v>SRC-1e75c72403
SRC-dc31021747</x:v>
      </x:c>
    </x:row>
    <x:row r="23" ht="83" customHeight="1">
      <x:c r="A23" s="7" t="str">
        <x:v>mlit_gunma</x:v>
      </x:c>
      <x:c r="B23" s="7" t="str">
        <x:v>MaeMaaSからGunMaaSへの移行と前橋 県域連携</x:v>
      </x:c>
      <x:c r="C23" s="7" t="str">
        <x:v>群馬県</x:v>
      </x:c>
      <x:c r="D23" s="7" t="str">
        <x:v>2023年の名称・広域移行と2024年度の県・前橋各高度化成果を確認。2026最新運営実績未検証</x:v>
      </x:c>
      <x:c r="E23" s="18" t="str">
        <x:v>2024年度成果報告、2026-10-31閲覧</x:v>
      </x:c>
      <x:c r="F23" s="7" t="str">
        <x:v>国土交通省
横断検証（個別所管は資料参照）</x:v>
      </x:c>
      <x:c r="G23" s="7" t="str">
        <x:v>群馬県
JR東日本</x:v>
      </x:c>
      <x:c r="H23" s="7" t="str">
        <x:v>FY2024</x:v>
      </x:c>
      <x:c r="I23" s="7" t="str">
        <x:v>maas_japan</x:v>
      </x:c>
      <x:c r="J23" s="7" t="str"/>
      <x:c r="K23" s="7" t="str">
        <x:v>交通ポイント・買物クーポン、P&amp;BR、交通データ分析</x:v>
      </x:c>
      <x:c r="L23" s="7" t="str">
        <x:v>2025-01-29～02-25に定額パス79枚</x:v>
      </x:c>
      <x:c r="M23" s="7" t="str">
        <x:v>乗継利用データを確認。純増交通利用・自家用車削減の因果効果未検証</x:v>
      </x:c>
      <x:c r="N23" s="7" t="str">
        <x:v>自己報告の単年度成果。機能整備・登録・主観評価を、実需増加や補助後自立と読み替えない。</x:v>
      </x:c>
      <x:c r="O23" s="7" t="str">
        <x:v>区分: 未確認
注記: 今回確認した資料では個別総事業費・交付額を特定せず</x:v>
      </x:c>
      <x:c r="P23" s="7" t="str"/>
      <x:c r="Q23" s="7" t="str"/>
      <x:c r="R23" s="7" t="str">
        <x:v>mlit_gunma
mlit_maebashi
V-C10</x:v>
      </x:c>
      <x:c r="S23" s="7" t="str">
        <x:v>S260
S271
S261
S083
S304</x:v>
      </x:c>
      <x:c r="T23" s="7" t="str">
        <x:v>https://www.mlit.go.jp/sogoseisaku/transport/content/001891587.pdf</x:v>
      </x:c>
      <x:c r="U23" s="7" t="str">
        <x:v>https://www.mlit.go.jp/sogoseisaku/transport/sosei_transport_tk_000160.html
https://www.mlit.go.jp/sogoseisaku/transport/content/001891588.pdf
https://www.city.maebashi.gunma.jp/material/files/group/7/R5gyouseihyoyukahoukokusyo.pdf
https://www.pref.gunma.jp/site/gikai/616080.html</x:v>
      </x:c>
      <x:c r="V23" s="7" t="str">
        <x:v>SRC-bf30df8e3d
SRC-dc31021747
SRC-4ccec8e791
SRC-2f41ffbca3
SRC-c865dfb1bd</x:v>
      </x:c>
    </x:row>
    <x:row r="24" ht="54.599998474121094" customHeight="1">
      <x:c r="A24" s="7" t="str">
        <x:v>mlit_shibukawa</x:v>
      </x:c>
      <x:c r="B24" s="7" t="str">
        <x:v>しぶかわMaaS・らくらく交通</x:v>
      </x:c>
      <x:c r="C24" s="7" t="str">
        <x:v>群馬県渋川市</x:v>
      </x:c>
      <x:c r="D24" s="7" t="str">
        <x:v>年度実績報告あり／次年度以降継続は個別未検証</x:v>
      </x:c>
      <x:c r="E24" s="18" t="str">
        <x:v>FY2024</x:v>
      </x:c>
      <x:c r="F24" s="7" t="str">
        <x:v>国土交通省</x:v>
      </x:c>
      <x:c r="G24" s="7" t="str">
        <x:v>渋川市
JR東日本
交通事業者</x:v>
      </x:c>
      <x:c r="H24" s="7" t="str">
        <x:v>FY2024</x:v>
      </x:c>
      <x:c r="I24" s="7" t="str">
        <x:v>maas_japan</x:v>
      </x:c>
      <x:c r="J24" s="7" t="str"/>
      <x:c r="K24" s="7" t="str">
        <x:v>マイナンバーと交通ICによる割引、予約統合</x:v>
      </x:c>
      <x:c r="L24" s="7" t="str">
        <x:v>25バス路線（エリアデマンド2含む）
バス3社・タクシー2社・介護タクシー1社</x:v>
      </x:c>
      <x:c r="M24" s="7" t="str">
        <x:v>利用・業務負担の改善は定性報告、実測削減量なし</x:v>
      </x:c>
      <x:c r="N24" s="7" t="str">
        <x:v>自己報告の単年度成果。機能整備・登録・主観評価を、実需増加や補助後自立と読み替えない。</x:v>
      </x:c>
      <x:c r="O24" s="7" t="str">
        <x:v>区分: 未確認
注記: 今回確認した資料では個別総事業費・交付額を特定せず</x:v>
      </x:c>
      <x:c r="P24" s="7" t="str"/>
      <x:c r="Q24" s="7" t="str"/>
      <x:c r="R24" s="7" t="str">
        <x:v>mlit_shibukawa</x:v>
      </x:c>
      <x:c r="S24" s="7" t="str">
        <x:v>S262
S271</x:v>
      </x:c>
      <x:c r="T24" s="7" t="str">
        <x:v>https://www.mlit.go.jp/sogoseisaku/transport/content/001891589.pdf</x:v>
      </x:c>
      <x:c r="U24" s="7" t="str">
        <x:v>https://www.mlit.go.jp/sogoseisaku/transport/sosei_transport_tk_000160.html</x:v>
      </x:c>
      <x:c r="V24" s="7" t="str">
        <x:v>SRC-2167af436c
SRC-dc31021747</x:v>
      </x:c>
    </x:row>
    <x:row r="25" ht="54.599998474121094" customHeight="1">
      <x:c r="A25" s="7" t="str">
        <x:v>mlit_miura</x:v>
      </x:c>
      <x:c r="B25" s="7" t="str">
        <x:v>三浦半島newcal</x:v>
      </x:c>
      <x:c r="C25" s="7" t="str">
        <x:v>神奈川県三浦半島</x:v>
      </x:c>
      <x:c r="D25" s="7" t="str">
        <x:v>年度実績報告あり／次年度以降継続は個別未検証</x:v>
      </x:c>
      <x:c r="E25" s="18" t="str">
        <x:v>FY2024</x:v>
      </x:c>
      <x:c r="F25" s="7" t="str">
        <x:v>国土交通省</x:v>
      </x:c>
      <x:c r="G25" s="7" t="str">
        <x:v>京浜急行電鉄
ジョルダン
地域事業者</x:v>
      </x:c>
      <x:c r="H25" s="7" t="str">
        <x:v>FY2024</x:v>
      </x:c>
      <x:c r="I25" s="7" t="str">
        <x:v>maas_japan</x:v>
      </x:c>
      <x:c r="J25" s="7" t="str"/>
      <x:c r="K25" s="7" t="str">
        <x:v>宿泊＋乗車券、シェアサイクルAPI、スタンプラリーCMS</x:v>
      </x:c>
      <x:c r="L25" s="7" t="str">
        <x:v>宿泊連携・自転車予約等の機能整備</x:v>
      </x:c>
      <x:c r="M25" s="7" t="str">
        <x:v>周遊・消費・混雑改善は目的であり、定量成果未掲載</x:v>
      </x:c>
      <x:c r="N25" s="7" t="str">
        <x:v>自己報告の単年度成果。機能整備・登録・主観評価を、実需増加や補助後自立と読み替えない。</x:v>
      </x:c>
      <x:c r="O25" s="7" t="str">
        <x:v>区分: 未確認
注記: 今回確認した資料では個別総事業費・交付額を特定せず</x:v>
      </x:c>
      <x:c r="P25" s="7" t="str"/>
      <x:c r="Q25" s="7" t="str"/>
      <x:c r="R25" s="7" t="str">
        <x:v>mlit_miura</x:v>
      </x:c>
      <x:c r="S25" s="7" t="str">
        <x:v>S264
S271</x:v>
      </x:c>
      <x:c r="T25" s="7" t="str">
        <x:v>https://www.mlit.go.jp/sogoseisaku/transport/content/001891592.pdf</x:v>
      </x:c>
      <x:c r="U25" s="7" t="str">
        <x:v>https://www.mlit.go.jp/sogoseisaku/transport/sosei_transport_tk_000160.html</x:v>
      </x:c>
      <x:c r="V25" s="7" t="str">
        <x:v>SRC-9dd27904e8
SRC-dc31021747</x:v>
      </x:c>
    </x:row>
    <x:row r="26" ht="68.80000305175781" customHeight="1">
      <x:c r="A26" s="7" t="str">
        <x:v>mlit_kansai</x:v>
      </x:c>
      <x:c r="B26" s="7" t="str">
        <x:v>KANSAI MaaS 共通QR</x:v>
      </x:c>
      <x:c r="C26" s="7" t="str">
        <x:v>関西広域</x:v>
      </x:c>
      <x:c r="D26" s="7" t="str">
        <x:v>年度実績報告あり／次年度以降継続は個別未検証</x:v>
      </x:c>
      <x:c r="E26" s="18" t="str">
        <x:v>FY2024</x:v>
      </x:c>
      <x:c r="F26" s="7" t="str">
        <x:v>国土交通省</x:v>
      </x:c>
      <x:c r="G26" s="7" t="str">
        <x:v>KANSAI MaaS協議会
JR西日本
大阪メトロ等
スルッとKANSAI</x:v>
      </x:c>
      <x:c r="H26" s="7" t="str">
        <x:v>FY2024</x:v>
      </x:c>
      <x:c r="I26" s="7" t="str">
        <x:v>maas_japan</x:v>
      </x:c>
      <x:c r="J26" s="7" t="str"/>
      <x:c r="K26" s="7" t="str">
        <x:v>QR認証共通化、ABT商品設定、利用データベース</x:v>
      </x:c>
      <x:c r="L26" s="7" t="str">
        <x:v>FY2024に2種の新券商品を発売</x:v>
      </x:c>
      <x:c r="M26" s="7" t="str">
        <x:v>改札・商品設定作業の効率化は定性評価。利用純増は未確認</x:v>
      </x:c>
      <x:c r="N26" s="7" t="str">
        <x:v>自己報告の単年度成果。機能整備・登録・主観評価を、実需増加や補助後自立と読み替えない。</x:v>
      </x:c>
      <x:c r="O26" s="7" t="str">
        <x:v>区分: 未確認
注記: 今回確認した資料では個別総事業費・交付額を特定せず</x:v>
      </x:c>
      <x:c r="P26" s="7" t="str"/>
      <x:c r="Q26" s="7" t="str"/>
      <x:c r="R26" s="7" t="str">
        <x:v>mlit_kansai</x:v>
      </x:c>
      <x:c r="S26" s="7" t="str">
        <x:v>S266
S271</x:v>
      </x:c>
      <x:c r="T26" s="7" t="str">
        <x:v>https://www.mlit.go.jp/sogoseisaku/transport/content/001891601.pdf</x:v>
      </x:c>
      <x:c r="U26" s="7" t="str">
        <x:v>https://www.mlit.go.jp/sogoseisaku/transport/sosei_transport_tk_000160.html</x:v>
      </x:c>
      <x:c r="V26" s="7" t="str">
        <x:v>SRC-ca0fa445f0
SRC-dc31021747</x:v>
      </x:c>
    </x:row>
    <x:row r="27" ht="54.599998474121094" customHeight="1">
      <x:c r="A27" s="7" t="str">
        <x:v>mlit_fukuoka</x:v>
      </x:c>
      <x:c r="B27" s="7" t="str">
        <x:v>福岡近未来MaaS</x:v>
      </x:c>
      <x:c r="C27" s="7" t="str">
        <x:v>福岡県</x:v>
      </x:c>
      <x:c r="D27" s="7" t="str">
        <x:v>年度実績報告あり／次年度以降継続は個別未検証</x:v>
      </x:c>
      <x:c r="E27" s="18" t="str">
        <x:v>FY2024</x:v>
      </x:c>
      <x:c r="F27" s="7" t="str">
        <x:v>国土交通省</x:v>
      </x:c>
      <x:c r="G27" s="7" t="str">
        <x:v>福岡県
日立製作所
交通事業者</x:v>
      </x:c>
      <x:c r="H27" s="7" t="str">
        <x:v>FY2024</x:v>
      </x:c>
      <x:c r="I27" s="7" t="str">
        <x:v>maas_japan</x:v>
      </x:c>
      <x:c r="J27" s="7" t="str"/>
      <x:c r="K27" s="7" t="str">
        <x:v>my route交通券、データ形式統一・自治体横断ダッシュボード</x:v>
      </x:c>
      <x:c r="L27" s="7" t="str">
        <x:v>3種の企画券
運行・属性データ可視化</x:v>
      </x:c>
      <x:c r="M27" s="7" t="str">
        <x:v>自治体のデータ利用と連携の改善を報告、交通維持の因果効果未確認</x:v>
      </x:c>
      <x:c r="N27" s="7" t="str">
        <x:v>自己報告の単年度成果。機能整備・登録・主観評価を、実需増加や補助後自立と読み替えない。</x:v>
      </x:c>
      <x:c r="O27" s="7" t="str">
        <x:v>区分: 未確認
注記: 今回確認した資料では個別総事業費・交付額を特定せず</x:v>
      </x:c>
      <x:c r="P27" s="7" t="str"/>
      <x:c r="Q27" s="7" t="str"/>
      <x:c r="R27" s="7" t="str">
        <x:v>mlit_fukuoka</x:v>
      </x:c>
      <x:c r="S27" s="7" t="str">
        <x:v>S267
S271</x:v>
      </x:c>
      <x:c r="T27" s="7" t="str">
        <x:v>https://www.mlit.go.jp/sogoseisaku/transport/content/001891602.pdf</x:v>
      </x:c>
      <x:c r="U27" s="7" t="str">
        <x:v>https://www.mlit.go.jp/sogoseisaku/transport/sosei_transport_tk_000160.html</x:v>
      </x:c>
      <x:c r="V27" s="7" t="str">
        <x:v>SRC-f4063dbc5a
SRC-dc31021747</x:v>
      </x:c>
    </x:row>
    <x:row r="28" ht="68.80000305175781" customHeight="1">
      <x:c r="A28" s="7" t="str">
        <x:v>mlit_kyushu</x:v>
      </x:c>
      <x:c r="B28" s="7" t="str">
        <x:v>九州MaaS</x:v>
      </x:c>
      <x:c r="C28" s="7" t="str">
        <x:v>九州7県</x:v>
      </x:c>
      <x:c r="D28" s="7" t="str">
        <x:v>FY2024実績報告あり、FY2026高度化採択・同年度成果未公表</x:v>
      </x:c>
      <x:c r="E28" s="18" t="n">
        <x:v>46326</x:v>
      </x:c>
      <x:c r="F28" s="7" t="str">
        <x:v>国土交通省</x:v>
      </x:c>
      <x:c r="G28" s="7" t="str">
        <x:v>九州MaaS協議会
九州7県
JR九州
西鉄等</x:v>
      </x:c>
      <x:c r="H28" s="7" t="str">
        <x:v>FY2024
FY2026</x:v>
      </x:c>
      <x:c r="I28" s="7" t="str">
        <x:v>maas_japan</x:v>
      </x:c>
      <x:c r="J28" s="7" t="str"/>
      <x:c r="K28" s="7" t="str">
        <x:v>広域交通券・QR・ビーコンOD、地域横断サービス</x:v>
      </x:c>
      <x:c r="L28" s="7" t="str">
        <x:v>FY2024にアプリ新規利用13事業者
26商品68券種発売</x:v>
      </x:c>
      <x:c r="M28" s="7" t="str">
        <x:v>販売可能性・連携基盤拡大を確認。交通利用・消費の純増未検証</x:v>
      </x:c>
      <x:c r="N28" s="7" t="str">
        <x:v>自己報告の単年度成果。機能整備・登録・主観評価を、実需増加や補助後自立と読み替えない。</x:v>
      </x:c>
      <x:c r="O28" s="7" t="str">
        <x:v>区分: 未確認
注記: 今回確認した資料では個別総事業費・交付額を特定せず</x:v>
      </x:c>
      <x:c r="P28" s="7" t="str"/>
      <x:c r="Q28" s="7" t="str"/>
      <x:c r="R28" s="7" t="str">
        <x:v>mlit_kyushu</x:v>
      </x:c>
      <x:c r="S28" s="7" t="str">
        <x:v>S268
S271</x:v>
      </x:c>
      <x:c r="T28" s="7" t="str">
        <x:v>https://www.mlit.go.jp/sogoseisaku/transport/content/001891603.pdf</x:v>
      </x:c>
      <x:c r="U28" s="7" t="str">
        <x:v>https://www.mlit.go.jp/sogoseisaku/transport/sosei_transport_tk_000160.html</x:v>
      </x:c>
      <x:c r="V28" s="7" t="str">
        <x:v>SRC-de515f9fcf
SRC-dc31021747</x:v>
      </x:c>
    </x:row>
    <x:row r="29" ht="54.599998474121094" customHeight="1">
      <x:c r="A29" s="7" t="str">
        <x:v>mlit_yaeyama</x:v>
      </x:c>
      <x:c r="B29" s="7" t="str">
        <x:v>八重山MaaS</x:v>
      </x:c>
      <x:c r="C29" s="7" t="str">
        <x:v>沖縄県石垣市・竹富町等</x:v>
      </x:c>
      <x:c r="D29" s="7" t="str">
        <x:v>年度実績報告あり／次年度以降継続は個別未検証</x:v>
      </x:c>
      <x:c r="E29" s="18" t="str">
        <x:v>FY2024</x:v>
      </x:c>
      <x:c r="F29" s="7" t="str">
        <x:v>国土交通省</x:v>
      </x:c>
      <x:c r="G29" s="7" t="str">
        <x:v>ジョルダン
八重山観光交通コンソーシアム
交通事業者</x:v>
      </x:c>
      <x:c r="H29" s="7" t="str">
        <x:v>FY2024</x:v>
      </x:c>
      <x:c r="I29" s="7" t="str">
        <x:v>maas_japan</x:v>
      </x:c>
      <x:c r="J29" s="7" t="str"/>
      <x:c r="K29" s="7" t="str">
        <x:v>QR改札方式更新・ODと事業者間精算</x:v>
      </x:c>
      <x:c r="L29" s="7" t="str">
        <x:v>7事業者に65台QR機器</x:v>
      </x:c>
      <x:c r="M29" s="7" t="str">
        <x:v>運賃按分・精算業務改善を報告、観光収益の純増は未確認</x:v>
      </x:c>
      <x:c r="N29" s="7" t="str">
        <x:v>自己報告の単年度成果。機能整備・登録・主観評価を、実需増加や補助後自立と読み替えない。</x:v>
      </x:c>
      <x:c r="O29" s="7" t="str">
        <x:v>区分: 未確認
注記: 今回確認した資料では個別総事業費・交付額を特定せず</x:v>
      </x:c>
      <x:c r="P29" s="7" t="str"/>
      <x:c r="Q29" s="7" t="str"/>
      <x:c r="R29" s="7" t="str">
        <x:v>mlit_yaeyama</x:v>
      </x:c>
      <x:c r="S29" s="7" t="str">
        <x:v>S269
S271</x:v>
      </x:c>
      <x:c r="T29" s="7" t="str">
        <x:v>https://www.mlit.go.jp/sogoseisaku/transport/content/001891604.pdf</x:v>
      </x:c>
      <x:c r="U29" s="7" t="str">
        <x:v>https://www.mlit.go.jp/sogoseisaku/transport/sosei_transport_tk_000160.html</x:v>
      </x:c>
      <x:c r="V29" s="7" t="str">
        <x:v>SRC-1de8e7cc9d
SRC-dc31021747</x:v>
      </x:c>
    </x:row>
    <x:row r="30" ht="54.599998474121094" customHeight="1">
      <x:c r="A30" s="7" t="str">
        <x:v>mlit_murakami</x:v>
      </x:c>
      <x:c r="B30" s="7" t="str">
        <x:v>山北徳新会病院車両の公共ライドシェア活用</x:v>
      </x:c>
      <x:c r="C30" s="7" t="str">
        <x:v>新潟県村上市山北地区</x:v>
      </x:c>
      <x:c r="D30" s="7" t="str">
        <x:v>実証成果公開、恒常継続未検証</x:v>
      </x:c>
      <x:c r="E30" s="18" t="n">
        <x:v>46053</x:v>
      </x:c>
      <x:c r="F30" s="7" t="str">
        <x:v>国土交通省</x:v>
      </x:c>
      <x:c r="G30" s="7" t="str">
        <x:v>山北地域交通運営協議会
山北徳新会病院
地域交通関係者</x:v>
      </x:c>
      <x:c r="H30" s="7" t="str">
        <x:v>FY2025～2026-03</x:v>
      </x:c>
      <x:c r="I30" s="7" t="str"/>
      <x:c r="J30" s="7" t="str">
        <x:v>gap / kyousou</x:v>
      </x:c>
      <x:c r="K30" s="7" t="str">
        <x:v>低需要路線資源を需要路線に回し、病院送迎車を地域の足に共用</x:v>
      </x:c>
      <x:c r="L30" s="7" t="str">
        <x:v>2025-12-01～2026-03-31実施
観測47日245人188便、5.2人/日・1.3人/便
運賃100～200円、10人乗り1台</x:v>
      </x:c>
      <x:c r="M30" s="7" t="str">
        <x:v>送迎資源を共有。低乗合・運行間隔など課題。他病院への展開は検討段階</x:v>
      </x:c>
      <x:c r="N30" s="7" t="str">
        <x:v>全期間予定と部分期間実績（12月～1月）を混同しない。</x:v>
      </x:c>
      <x:c r="O30" s="7" t="str">
        <x:v>区分: case_total_project_cost
額（円）: 1745000
注記: 事例ページ事業費。国庫交付額そのものとは限らない</x:v>
      </x:c>
      <x:c r="P30" s="7" t="str"/>
      <x:c r="Q30" s="7" t="str"/>
      <x:c r="R30" s="7" t="str">
        <x:v>mlit_murakami</x:v>
      </x:c>
      <x:c r="S30" s="7" t="str">
        <x:v>S016</x:v>
      </x:c>
      <x:c r="T30" s="7" t="str">
        <x:v>https://kotsu-kuhaku.jp/adopter_7/kotsu/detail.php?CN=426566</x:v>
      </x:c>
      <x:c r="U30" s="7" t="str"/>
      <x:c r="V30" s="7" t="str">
        <x:v>SRC-84b979ac9d</x:v>
      </x:c>
    </x:row>
    <x:row r="31" ht="54.599998474121094" customHeight="1">
      <x:c r="A31" s="7" t="str">
        <x:v>mlit_hiroshima</x:v>
      </x:c>
      <x:c r="B31" s="7" t="str">
        <x:v>高陽地区共同運行・車庫休憩所共同化</x:v>
      </x:c>
      <x:c r="C31" s="7" t="str">
        <x:v>広島県広島市高陽地区</x:v>
      </x:c>
      <x:c r="D31" s="7" t="str">
        <x:v>実証・課題報告あり、2026見直しは計画</x:v>
      </x:c>
      <x:c r="E31" s="18" t="n">
        <x:v>46021</x:v>
      </x:c>
      <x:c r="F31" s="7" t="str">
        <x:v>国土交通省</x:v>
      </x:c>
      <x:c r="G31" s="7" t="str">
        <x:v>広島交通
JRバス中国
高陽地区連携プラットフォーム</x:v>
      </x:c>
      <x:c r="H31" s="7" t="str">
        <x:v>FY2025</x:v>
      </x:c>
      <x:c r="I31" s="7" t="str">
        <x:v>kyousou</x:v>
      </x:c>
      <x:c r="J31" s="7" t="str"/>
      <x:c r="K31" s="7" t="str">
        <x:v>都心直通一辺倒から鉄道接続・医療買物の地域内便へ資源再配分</x:v>
      </x:c>
      <x:c r="L31" s="7" t="str">
        <x:v>2025-10-06～12-30の86日、1376便
月平均利用7851.9人（報告原単位）
日中団地便5→8、3→8</x:v>
      </x:c>
      <x:c r="M31" s="7" t="str">
        <x:v>供給を増やす一方、狭隘道すれ違い遅延・幹線接続に課題</x:v>
      </x:c>
      <x:c r="N31" s="7" t="str">
        <x:v>小数付き月平均を累計実人数としない。路線変更前後の比較条件要確認。</x:v>
      </x:c>
      <x:c r="O31" s="7" t="str">
        <x:v>区分: case_total_project_cost
額（円）: 18510000
注記: 国庫補助額ではなく事例記載事業費</x:v>
      </x:c>
      <x:c r="P31" s="7" t="str"/>
      <x:c r="Q31" s="7" t="str"/>
      <x:c r="R31" s="7" t="str">
        <x:v>mlit_hiroshima</x:v>
      </x:c>
      <x:c r="S31" s="7" t="str">
        <x:v>S017</x:v>
      </x:c>
      <x:c r="T31" s="7" t="str">
        <x:v>https://kotsu-kuhaku.jp/adopter_7/kyoso/detail.php?CN=426571</x:v>
      </x:c>
      <x:c r="U31" s="7" t="str"/>
      <x:c r="V31" s="7" t="str">
        <x:v>SRC-e1b6404c3c</x:v>
      </x:c>
    </x:row>
    <x:row r="32" ht="68.80000305175781" customHeight="1">
      <x:c r="A32" s="7" t="str">
        <x:v>mlit_unzen</x:v>
      </x:c>
      <x:c r="B32" s="7" t="str">
        <x:v>夜間余剰マイクロバスによるスポーツ送迎</x:v>
      </x:c>
      <x:c r="C32" s="7" t="str">
        <x:v>長崎県雲仙市</x:v>
      </x:c>
      <x:c r="D32" s="7" t="str">
        <x:v>実証結果・継続費用課題を公表</x:v>
      </x:c>
      <x:c r="E32" s="18" t="n">
        <x:v>46019</x:v>
      </x:c>
      <x:c r="F32" s="7" t="str">
        <x:v>国土交通省</x:v>
      </x:c>
      <x:c r="G32" s="7" t="str">
        <x:v>うんぜん共創プラットフォーム
地域イノベーション推進機構
遊学の里くにみ
地域ボランティア</x:v>
      </x:c>
      <x:c r="H32" s="7" t="str">
        <x:v>FY2025～2026-02</x:v>
      </x:c>
      <x:c r="I32" s="7" t="str">
        <x:v>kyousou</x:v>
      </x:c>
      <x:c r="J32" s="7" t="str"/>
      <x:c r="K32" s="7" t="str">
        <x:v>17時以降の余剰車両で少年サッカー送迎、LINE連絡</x:v>
      </x:c>
      <x:c r="L32" s="7" t="str">
        <x:v>2025-08-19～2026-02-28実施
観測60日120便1364人、登録26人、11.36人/便</x:v>
      </x:c>
      <x:c r="M32" s="7" t="str">
        <x:v>保護者2160移動・1080時間削減は推計。運転者・恒常財源の確保が必要</x:v>
      </x:c>
      <x:c r="N32" s="7" t="str">
        <x:v>無料・ボランティアの実証を恒常収支としない。全期間と8～12月観測を区別。</x:v>
      </x:c>
      <x:c r="O32" s="7" t="str">
        <x:v>区分: case_total_project_cost
額（円）: 5367000
注記: 事例記載事業費、個別補助額不明</x:v>
      </x:c>
      <x:c r="P32" s="7" t="str"/>
      <x:c r="Q32" s="7" t="str"/>
      <x:c r="R32" s="7" t="str">
        <x:v>mlit_unzen</x:v>
      </x:c>
      <x:c r="S32" s="7" t="str">
        <x:v>S018</x:v>
      </x:c>
      <x:c r="T32" s="7" t="str">
        <x:v>https://kotsu-kuhaku.jp/adopter_7/kyoso/detail.php?CN=426573</x:v>
      </x:c>
      <x:c r="U32" s="7" t="str"/>
      <x:c r="V32" s="7" t="str">
        <x:v>SRC-2553a76079</x:v>
      </x:c>
    </x:row>
    <x:row r="33" ht="54.599998474121094" customHeight="1">
      <x:c r="A33" s="7" t="str">
        <x:v>mlit_hachinohe</x:v>
      </x:c>
      <x:c r="B33" s="7" t="str">
        <x:v>八戸圏域モビリティ人材育成</x:v>
      </x:c>
      <x:c r="C33" s="7" t="str">
        <x:v>青森県八戸圏域8市町村</x:v>
      </x:c>
      <x:c r="D33" s="7" t="str">
        <x:v>研修・アンケート結果公開</x:v>
      </x:c>
      <x:c r="E33" s="18" t="str">
        <x:v>2025-12</x:v>
      </x:c>
      <x:c r="F33" s="7" t="str">
        <x:v>国土交通省</x:v>
      </x:c>
      <x:c r="G33" s="7" t="str">
        <x:v>八戸圏域8市町村
KCS
学生・教育関係者</x:v>
      </x:c>
      <x:c r="H33" s="7" t="str">
        <x:v>FY2025</x:v>
      </x:c>
      <x:c r="I33" s="7" t="str">
        <x:v>human</x:v>
      </x:c>
      <x:c r="J33" s="7" t="str"/>
      <x:c r="K33" s="7" t="str">
        <x:v>ICデータを使う自治体職員OJT・学生ワークショップ</x:v>
      </x:c>
      <x:c r="L33" s="7" t="str">
        <x:v>職員2ワークショップ＋OJT（10人、後半9人）
学生約30人ほか</x:v>
      </x:c>
      <x:c r="M33" s="7" t="str">
        <x:v>回答者全員の関心向上、約半数イベント参加意向。政策能力の客観テストや実装結果は未取得</x:v>
      </x:c>
      <x:c r="N33" s="7" t="str">
        <x:v>研修満足度を住民移動改善と代替しない。</x:v>
      </x:c>
      <x:c r="O33" s="7" t="str">
        <x:v>区分: 未確認
注記: 今回確認した資料では個別総事業費・交付額を特定せず</x:v>
      </x:c>
      <x:c r="P33" s="7" t="str"/>
      <x:c r="Q33" s="7" t="str"/>
      <x:c r="R33" s="7" t="str">
        <x:v>mlit_hachinohe</x:v>
      </x:c>
      <x:c r="S33" s="7" t="str">
        <x:v>S019</x:v>
      </x:c>
      <x:c r="T33" s="7" t="str">
        <x:v>https://kotsu-kuhaku.jp/adopter_7/mobi/detail.php?CN=426329</x:v>
      </x:c>
      <x:c r="U33" s="7" t="str"/>
      <x:c r="V33" s="7" t="str">
        <x:v>SRC-d89c42a8f3</x:v>
      </x:c>
    </x:row>
    <x:row r="34" ht="54.599998474121094" customHeight="1">
      <x:c r="A34" s="7" t="str">
        <x:v>mlit_sapporo</x:v>
      </x:c>
      <x:c r="B34" s="7" t="str">
        <x:v>清田区医療連携オンデマンド</x:v>
      </x:c>
      <x:c r="C34" s="7" t="str">
        <x:v>北海道札幌市</x:v>
      </x:c>
      <x:c r="D34" s="7" t="str">
        <x:v>医療連携構想を修正し移動困難者支援へ</x:v>
      </x:c>
      <x:c r="E34" s="18" t="n">
        <x:v>45688</x:v>
      </x:c>
      <x:c r="F34" s="7" t="str">
        <x:v>国土交通省</x:v>
      </x:c>
      <x:c r="G34" s="7" t="str">
        <x:v>札幌市
医療機関
未来シェア等</x:v>
      </x:c>
      <x:c r="H34" s="7" t="str">
        <x:v>FY2024</x:v>
      </x:c>
      <x:c r="I34" s="7" t="str">
        <x:v>kyousou</x:v>
      </x:c>
      <x:c r="J34" s="7" t="str"/>
      <x:c r="K34" s="7" t="str">
        <x:v>複数病院連携と通院送迎</x:v>
      </x:c>
      <x:c r="L34" s="7" t="str">
        <x:v>2024-08-21～2025-01-31、136人111便、1.2人/便、無料</x:v>
      </x:c>
      <x:c r="M34" s="7" t="str">
        <x:v>複数予約を組み合わせるバーチャル総合病院構想は調整困難で修正。交通だけでは医療業務連携を代替できない</x:v>
      </x:c>
      <x:c r="N34" s="7" t="str">
        <x:v>補助付き短期実験。構想変更は学習であり、全事業失敗と一括判定しない。</x:v>
      </x:c>
      <x:c r="O34" s="7" t="str">
        <x:v>区分: case_report_cost
額（円）: 15200000
注記: 初期610万円＋運行910万円。無料運賃、報告上赤字同額</x:v>
      </x:c>
      <x:c r="P34" s="7" t="str"/>
      <x:c r="Q34" s="7" t="str"/>
      <x:c r="R34" s="7" t="str">
        <x:v>mlit_sapporo</x:v>
      </x:c>
      <x:c r="S34" s="7" t="str">
        <x:v>S015</x:v>
      </x:c>
      <x:c r="T34" s="7" t="str">
        <x:v>https://kotsu-kuhaku.jp/adopter_6/kyousou/report/kyousou_all.pdf</x:v>
      </x:c>
      <x:c r="U34" s="7" t="str"/>
      <x:c r="V34" s="7" t="str">
        <x:v>SRC-39a2bad972</x:v>
      </x:c>
    </x:row>
    <x:row r="35" ht="40.400001525878906" customHeight="1">
      <x:c r="A35" s="7" t="str">
        <x:v>mlit_iyo</x:v>
      </x:c>
      <x:c r="B35" s="7" t="str">
        <x:v>双海地区自動運転バス</x:v>
      </x:c>
      <x:c r="C35" s="7" t="str">
        <x:v>愛媛県伊予市</x:v>
      </x:c>
      <x:c r="D35" s="7" t="str">
        <x:v>国費不採択を受け当面休止</x:v>
      </x:c>
      <x:c r="E35" s="18" t="n">
        <x:v>45870</x:v>
      </x:c>
      <x:c r="F35" s="7" t="str">
        <x:v>国土交通省</x:v>
      </x:c>
      <x:c r="G35" s="7" t="str">
        <x:v>伊予市
運行関係事業者</x:v>
      </x:c>
      <x:c r="H35" s="7" t="str">
        <x:v>2024～2025</x:v>
      </x:c>
      <x:c r="I35" s="7" t="str">
        <x:v>av_support</x:v>
      </x:c>
      <x:c r="J35" s="7" t="str"/>
      <x:c r="K35" s="7" t="str">
        <x:v>JR伊予上灘駅～日尾野の試験運行</x:v>
      </x:c>
      <x:c r="L35" s="7" t="str">
        <x:v>2024-02から試験運行</x:v>
      </x:c>
      <x:c r="M35" s="7" t="str">
        <x:v>FY2025国補助不採択で費用確保困難、2025-08-01から休止</x:v>
      </x:c>
      <x:c r="N35" s="7" t="str">
        <x:v>技術不能ではなく資金継続の問題。2026-10時点の再開有無は別資料で未検証。</x:v>
      </x:c>
      <x:c r="O35" s="7" t="str">
        <x:v>区分: 未確認
注記: 今回確認した資料では個別総事業費・交付額を特定せず</x:v>
      </x:c>
      <x:c r="P35" s="7" t="str"/>
      <x:c r="Q35" s="7" t="str"/>
      <x:c r="R35" s="7" t="str">
        <x:v>mlit_iyo</x:v>
      </x:c>
      <x:c r="S35" s="7" t="str">
        <x:v>S070</x:v>
      </x:c>
      <x:c r="T35" s="7" t="str">
        <x:v>https://www.city.iyo.lg.jp/kikakuseisaku/jidouunten-kyushi.html</x:v>
      </x:c>
      <x:c r="U35" s="7" t="str"/>
      <x:c r="V35" s="7" t="str">
        <x:v>SRC-62e072869c</x:v>
      </x:c>
    </x:row>
    <x:row r="36" ht="40.400001525878906" customHeight="1">
      <x:c r="A36" s="7" t="str">
        <x:v>mlit_wakkanai</x:v>
      </x:c>
      <x:c r="B36" s="7" t="str">
        <x:v>稚内市 自動運転導入事業</x:v>
      </x:c>
      <x:c r="C36" s="7" t="str">
        <x:v>北海道稚内市</x:v>
      </x:c>
      <x:c r="D36" s="7" t="str">
        <x:v>2026事業開始段階</x:v>
      </x:c>
      <x:c r="E36" s="18" t="n">
        <x:v>46302</x:v>
      </x:c>
      <x:c r="F36" s="7" t="str">
        <x:v>国土交通省</x:v>
      </x:c>
      <x:c r="G36" s="7" t="str">
        <x:v>稚内市</x:v>
      </x:c>
      <x:c r="H36" s="7" t="str">
        <x:v>FY2026</x:v>
      </x:c>
      <x:c r="I36" s="7" t="str">
        <x:v>av_support</x:v>
      </x:c>
      <x:c r="J36" s="7" t="str"/>
      <x:c r="K36" s="7" t="str">
        <x:v>地域交通への自動運転導入準備</x:v>
      </x:c>
      <x:c r="L36" s="7" t="str">
        <x:v>FY2026から取組開始</x:v>
      </x:c>
      <x:c r="M36" s="7" t="str">
        <x:v>継続運行・結果指標は未確認</x:v>
      </x:c>
      <x:c r="N36" s="7" t="str">
        <x:v>2026年度途中。事業開始をL4運行実績としない。</x:v>
      </x:c>
      <x:c r="O36" s="7" t="str">
        <x:v>区分: 未確認
注記: 今回確認した資料では個別総事業費・交付額を特定せず</x:v>
      </x:c>
      <x:c r="P36" s="7" t="str"/>
      <x:c r="Q36" s="7" t="str"/>
      <x:c r="R36" s="7" t="str">
        <x:v>mlit_wakkanai</x:v>
      </x:c>
      <x:c r="S36" s="7" t="str">
        <x:v>S120</x:v>
      </x:c>
      <x:c r="T36" s="7" t="str">
        <x:v>https://www.city.wakkanai.hokkaido.jp/kurashi/kotsu/jidounten.html</x:v>
      </x:c>
      <x:c r="U36" s="7" t="str"/>
      <x:c r="V36" s="7" t="str">
        <x:v>SRC-6fdd2f91ae</x:v>
      </x:c>
    </x:row>
    <x:row r="37" ht="54.599998474121094" customHeight="1">
      <x:c r="A37" s="7" t="str">
        <x:v>mlit_conpas</x:v>
      </x:c>
      <x:c r="B37" s="7" t="str">
        <x:v>横浜港CONPAS</x:v>
      </x:c>
      <x:c r="C37" s="7" t="str">
        <x:v>神奈川県横浜港南本牧・本牧</x:v>
      </x:c>
      <x:c r="D37" s="7" t="str">
        <x:v>南本牧本格運用、他ターミナルは試験拡大</x:v>
      </x:c>
      <x:c r="E37" s="18" t="n">
        <x:v>45979</x:v>
      </x:c>
      <x:c r="F37" s="7" t="str">
        <x:v>国土交通省港湾局・関東地方整備局
国土交通省</x:v>
      </x:c>
      <x:c r="G37" s="7" t="str">
        <x:v>国交省港湾局・関東地方整備局
港湾運営・陸運事業者</x:v>
      </x:c>
      <x:c r="H37" s="7" t="str">
        <x:v>2018～2025</x:v>
      </x:c>
      <x:c r="I37" s="7" t="str">
        <x:v>portdx</x:v>
      </x:c>
      <x:c r="J37" s="7" t="str"/>
      <x:c r="K37" s="7" t="str">
        <x:v>コンテナ搬出入予約と事前照合</x:v>
      </x:c>
      <x:c r="L37" s="7" t="str">
        <x:v>2018から試験を反復
2021-04南本牧本格運用
2025本牧で予約必須の限定試験</x:v>
      </x:c>
      <x:c r="M37" s="7" t="str">
        <x:v>プロセスの実装移行を確認。今回取得資料で待ち時間削減実測は特定せず</x:v>
      </x:c>
      <x:c r="N37" s="7" t="str">
        <x:v>港湾ごとに本格運用と試験が混在。全港一律実装としない。</x:v>
      </x:c>
      <x:c r="O37" s="7" t="str">
        <x:v>区分: 未確認
注記: 今回確認した資料では個別総事業費・交付額を特定せず</x:v>
      </x:c>
      <x:c r="P37" s="7" t="str"/>
      <x:c r="Q37" s="7" t="str"/>
      <x:c r="R37" s="7" t="str">
        <x:v>mlit_conpas</x:v>
      </x:c>
      <x:c r="S37" s="7" t="str">
        <x:v>S301
S231
S127</x:v>
      </x:c>
      <x:c r="T37" s="7" t="str">
        <x:v>https://www.pa.hrr.mlit.go.jp/file/kouwanshinkou/butsuryu/butsuryu-kanri/upload/R2_08.pdf</x:v>
      </x:c>
      <x:c r="U37" s="7" t="str">
        <x:v>https://www.mlit.go.jp/kowan/content/001499199.pdf
https://www.cyber-port.net/ja/information/detail/218</x:v>
      </x:c>
      <x:c r="V37" s="7" t="str">
        <x:v>SRC-13881242c6
SRC-9f9e8dec7d
SRC-20bc3a1de2</x:v>
      </x:c>
    </x:row>
    <x:row r="38" ht="54.599998474121094" customHeight="1">
      <x:c r="A38" s="7" t="str">
        <x:v>mlit_narita</x:v>
      </x:c>
      <x:c r="B38" s="7" t="str">
        <x:v>成田空港地上車両自動運転</x:v>
      </x:c>
      <x:c r="C38" s="7" t="str">
        <x:v>千葉県成田国際空港</x:v>
      </x:c>
      <x:c r="D38" s="7" t="str">
        <x:v>複数車種の実証継続記載</x:v>
      </x:c>
      <x:c r="E38" s="18" t="n">
        <x:v>46326</x:v>
      </x:c>
      <x:c r="F38" s="7" t="str">
        <x:v>国土交通省</x:v>
      </x:c>
      <x:c r="G38" s="7" t="str">
        <x:v>成田国際空港
車両・航空・通信関係事業者</x:v>
      </x:c>
      <x:c r="H38" s="7" t="str">
        <x:v>2018～</x:v>
      </x:c>
      <x:c r="I38" s="7" t="str">
        <x:v>airportauto</x:v>
      </x:c>
      <x:c r="J38" s="7" t="str"/>
      <x:c r="K38" s="7" t="str">
        <x:v>空港制限区域の旅客連絡バスとGSE貨物車両</x:v>
      </x:c>
      <x:c r="L38" s="7" t="str">
        <x:v>2018初実証
GSE2019年度～、ターミナル連絡バス2021年度～実証</x:v>
      </x:c>
      <x:c r="M38" s="7" t="str">
        <x:v>L4目標の記述を確認。最新ページだけから全車L4達成とは判定できない</x:v>
      </x:c>
      <x:c r="N38" s="7" t="str">
        <x:v>一般道路と空港制限区域のレベル・安全承認を混同しない。掲載資料の更新日不明。</x:v>
      </x:c>
      <x:c r="O38" s="7" t="str">
        <x:v>区分: 未確認
注記: 今回確認した資料では個別総事業費・交付額を特定せず</x:v>
      </x:c>
      <x:c r="P38" s="7" t="str"/>
      <x:c r="Q38" s="7" t="str"/>
      <x:c r="R38" s="7" t="str">
        <x:v>mlit_narita</x:v>
      </x:c>
      <x:c r="S38" s="7" t="str">
        <x:v>S285
S284
S230</x:v>
      </x:c>
      <x:c r="T38" s="7" t="str">
        <x:v>https://www.narita-airport.jp/ja/company/media-center/news/20181204-jidousoukou/</x:v>
      </x:c>
      <x:c r="U38" s="7" t="str">
        <x:v>https://www.narita-airport.jp/ja/company/airport-operation/action/airnarita/automation/
https://www.mlit.go.jp/koku/koku_tk9_000103.html</x:v>
      </x:c>
      <x:c r="V38" s="7" t="str">
        <x:v>SRC-8065d68bf7
SRC-0b54f721cb
SRC-43225c1e53</x:v>
      </x:c>
    </x:row>
    <x:row r="39" ht="40.400001525878906" customHeight="1">
      <x:c r="A39" s="7" t="str">
        <x:v>mlit_drone_fukuoka</x:v>
      </x:c>
      <x:c r="B39" s="7" t="str">
        <x:v>福岡市離島ドローン物流モデル</x:v>
      </x:c>
      <x:c r="C39" s="7" t="str">
        <x:v>福岡県福岡市</x:v>
      </x:c>
      <x:c r="D39" s="7" t="str">
        <x:v>実証・費用CO2モデル公表、恒常運行未検証</x:v>
      </x:c>
      <x:c r="E39" s="18" t="str">
        <x:v>2019-03</x:v>
      </x:c>
      <x:c r="F39" s="7" t="str">
        <x:v>国土交通省</x:v>
      </x:c>
      <x:c r="G39" s="7" t="str">
        <x:v>ANAホールディングス等
地域関係者</x:v>
      </x:c>
      <x:c r="H39" s="7" t="str">
        <x:v>FY2018</x:v>
      </x:c>
      <x:c r="I39" s="7" t="str">
        <x:v>drone_logistics</x:v>
      </x:c>
      <x:c r="J39" s="7" t="str"/>
      <x:c r="K39" s="7" t="str">
        <x:v>船舶輸送の代替・補完として生活品と海産物輸送を検証</x:v>
      </x:c>
      <x:c r="L39" s="7" t="str">
        <x:v>5地域共同調査のうち海上輸送型</x:v>
      </x:c>
      <x:c r="M39" s="7" t="str">
        <x:v>補助者等の移動を除く将来シナリオでは費用・CO2改善を推計。一方、実証時はその人員移動が排出の大半を占めた</x:v>
      </x:c>
      <x:c r="N39" s="7" t="str">
        <x:v>環境省委託の共同領域。将来の省人化仮定を実測達成としない。</x:v>
      </x:c>
      <x:c r="O39" s="7" t="str">
        <x:v>区分: 未確認
注記: 今回確認した資料では個別総事業費・交付額を特定せず</x:v>
      </x:c>
      <x:c r="P39" s="7" t="str"/>
      <x:c r="Q39" s="7" t="str"/>
      <x:c r="R39" s="7" t="str">
        <x:v>mlit_drone_fukuoka</x:v>
      </x:c>
      <x:c r="S39" s="7" t="str">
        <x:v>S225
S257</x:v>
      </x:c>
      <x:c r="T39" s="7" t="str">
        <x:v>https://www.mlit.go.jp/common/001289661.pdf</x:v>
      </x:c>
      <x:c r="U39" s="7" t="str">
        <x:v>https://www.mlit.go.jp/seisakutokatsu/freight/seisakutokatsu_tk_000024.html</x:v>
      </x:c>
      <x:c r="V39" s="7" t="str">
        <x:v>SRC-8a19cf209a
SRC-0468ffa389</x:v>
      </x:c>
    </x:row>
    <x:row r="40" ht="68.80000305175781" customHeight="1">
      <x:c r="A40" s="7" t="str">
        <x:v>mlit_trucks</x:v>
      </x:c>
      <x:c r="B40" s="7" t="str">
        <x:v>幹線自動運転トラック実証4事業</x:v>
      </x:c>
      <x:c r="C40" s="7" t="str">
        <x:v>高速道路幹線物流ネットワーク</x:v>
      </x:c>
      <x:c r="D40" s="7" t="str">
        <x:v>交付決定、実装成果は未検証</x:v>
      </x:c>
      <x:c r="E40" s="18" t="n">
        <x:v>45940</x:v>
      </x:c>
      <x:c r="F40" s="7" t="str">
        <x:v>国土交通省</x:v>
      </x:c>
      <x:c r="G40" s="7" t="str">
        <x:v>T2
ヤマト運輸
L4物流自動運転トレーラー推進協議会
豊田通商</x:v>
      </x:c>
      <x:c r="H40" s="7" t="str">
        <x:v>FY2025</x:v>
      </x:c>
      <x:c r="I40" s="7" t="str">
        <x:v>truck_logistics</x:v>
      </x:c>
      <x:c r="J40" s="7" t="str"/>
      <x:c r="K40" s="7" t="str">
        <x:v>車両・荷役/切替拠点・運行システムの実証</x:v>
      </x:c>
      <x:c r="L40" s="7" t="str">
        <x:v>4事業への交付決定</x:v>
      </x:c>
      <x:c r="M40" s="7" t="str">
        <x:v>L4無人商用幹線輸送の達成とは別</x:v>
      </x:c>
      <x:c r="N40" s="7" t="str">
        <x:v>このケースは4事業を束ねる制度例で地域単独案件数に加算しない。</x:v>
      </x:c>
      <x:c r="O40" s="7" t="str">
        <x:v>区分: program_awarded_total
額（円）: 444000000
注記: 4件合計。個社額・全制度予算ではない</x:v>
      </x:c>
      <x:c r="P40" s="7" t="str"/>
      <x:c r="Q40" s="7" t="str"/>
      <x:c r="R40" s="7" t="str">
        <x:v>mlit_trucks</x:v>
      </x:c>
      <x:c r="S40" s="7" t="str">
        <x:v>S251</x:v>
      </x:c>
      <x:c r="T40" s="7" t="str">
        <x:v>https://www.mlit.go.jp/report/press/tokatsu01_hh_000949.html</x:v>
      </x:c>
      <x:c r="U40" s="7" t="str"/>
      <x:c r="V40" s="7" t="str">
        <x:v>SRC-f9fb175705</x:v>
      </x:c>
    </x:row>
    <x:row r="41" ht="139.8000030517578" customHeight="1">
      <x:c r="A41" s="7" t="str">
        <x:v>meti_eiheiji</x:v>
      </x:c>
      <x:c r="B41" s="7" t="str">
        <x:v>永平寺町 ZEN drive</x:v>
      </x:c>
      <x:c r="C41" s="7" t="str">
        <x:v>福井県永平寺町</x:v>
      </x:c>
      <x:c r="D41" s="7" t="str">
        <x:v>休止（2026/4/1から当面）</x:v>
      </x:c>
      <x:c r="E41" s="18" t="n">
        <x:v>46104</x:v>
      </x:c>
      <x:c r="F41" s="7" t="str">
        <x:v>経済産業省
横断検証（個別所管は資料参照）</x:v>
      </x:c>
      <x:c r="G41" s="7" t="str">
        <x:v>永平寺町
ZENコネクト
産総研
ヤマハ発動機
三菱電機
ソリトンシステムズ</x:v>
      </x:c>
      <x:c r="H41" s="7" t="str">
        <x:v>2017–2026</x:v>
      </x:c>
      <x:c r="I41" s="7" t="str">
        <x:v>lastmile
roadl4</x:v>
      </x:c>
      <x:c r="J41" s="7" t="str"/>
      <x:c r="K41" s="7" t="str">
        <x:v>旧鉄道跡約2km、低速電動カート、遠隔1人対3台</x:v>
      </x:c>
      <x:c r="L41" s="7" t="str">
        <x:v>2017選定→2021 L3→2023 L4
2025/3/8–11/30：88日、1,266便、2,532km、994人。空車回送・試験走行を便数に含む</x:v>
      </x:c>
      <x:c r="M41" s="7" t="str">
        <x:v>2023–2025土日祝利用3,157人、219日。技術視察客は別集計
2025客の約8割は観光客推定。生活交通代替の効果は未測定</x:v>
      </x:c>
      <x:c r="N41" s="7" t="str">
        <x:v>2026/3末に車両/システム保証・メンテナンス期間満了。技術の初達成と持続運行は別
2023/10接触後停止。2024再開資料は業界団体の町取材も利用
2026/4以降再開公表を今回確認せず。無期限終了と断定しない</x:v>
      </x:c>
      <x:c r="O41" s="7" t="str">
        <x:v>町掲載運賃大人100円・中学生以下50円
保守契約費・補助後の総原価は未取得</x:v>
      </x:c>
      <x:c r="P41" s="7" t="str"/>
      <x:c r="Q41" s="7" t="str"/>
      <x:c r="R41" s="7" t="str">
        <x:v>meti_eiheiji
V-C01</x:v>
      </x:c>
      <x:c r="S41" s="7" t="str">
        <x:v>S309
S052
S058
S059
S235
S299
S001
S242
S228</x:v>
      </x:c>
      <x:c r="T41" s="7" t="str">
        <x:v>https://www.road-to-the-l4.go.jp/publication/pdf/02-2_theme01_20260305.pdf</x:v>
      </x:c>
      <x:c r="U41" s="7" t="str">
        <x:v>https://town.eiheiji.lg.jp/200/206/208/p010484.html
https://www.aist.go.jp/aist_j/news/au20210323.html
https://www.aist.go.jp/aist_j/news/au20230512.html
https://www.mlit.go.jp/report/interview/daijin231031.html
https://www.npsc.go.jp/report_2024/03-21.htm
https://blog.jama.or.jp/?p=7112
https://www.mlit.go.jp/report/press/jidosha07_hh_000448.html
https://www.mlit.go.jp/jidosha/content/001745506.pdf</x:v>
      </x:c>
      <x:c r="V41" s="7" t="str">
        <x:v>SRC-3022c44cce
SRC-57608459c3
SRC-d3d8b500d6
SRC-bd3fb938ed
SRC-7430389713
SRC-46b6d654b1
SRC-2360d413e6
SRC-7e76d92669
SRC-9a1a182711</x:v>
      </x:c>
    </x:row>
    <x:row r="42" ht="111.4000015258789" customHeight="1">
      <x:c r="A42" s="7" t="str">
        <x:v>meti_hitachi</x:v>
      </x:c>
      <x:c r="B42" s="7" t="str">
        <x:v>ひたちBRT L4</x:v>
      </x:c>
      <x:c r="C42" s="7" t="str">
        <x:v>茨城県日立市</x:v>
      </x:c>
      <x:c r="D42" s="7" t="str">
        <x:v>継続を2026/3確認</x:v>
      </x:c>
      <x:c r="E42" s="18" t="n">
        <x:v>46086</x:v>
      </x:c>
      <x:c r="F42" s="7" t="str">
        <x:v>経済産業省</x:v>
      </x:c>
      <x:c r="G42" s="7" t="str">
        <x:v>日立市
茨城交通
みちのりHD
日本総研
産総研
先進モビリティ
JARI</x:v>
      </x:c>
      <x:c r="H42" s="7" t="str">
        <x:v>2018–2026</x:v>
      </x:c>
      <x:c r="I42" s="7" t="str">
        <x:v>lastmile
roadl4</x:v>
      </x:c>
      <x:c r="J42" s="7" t="str"/>
      <x:c r="K42" s="7" t="str">
        <x:v>専用道約6.1kmのL4営業運行、乗務員乗車型</x:v>
      </x:c>
      <x:c r="L42" s="7" t="str">
        <x:v>2025/2/3–2026/1/31：1,655便、延べ8,284人、38.9人/日、約10,096km
平日8便（4往復）、40km/h以下</x:v>
      </x:c>
      <x:c r="M42" s="7" t="str">
        <x:v>定常路線運行の実績蓄積
雑草・轍/ラバーポール誤認等の停止原因に対策</x:v>
      </x:c>
      <x:c r="N42" s="7" t="str">
        <x:v>代車運行日を集計から除外
乗務員1人が主任者・保安員を兼務。車内無人/複数台遠隔は別の開発段階
イベント233人は受容活動のアウトプットであり住民支持率ではない</x:v>
      </x:c>
      <x:c r="O42" s="7" t="str">
        <x:v>営業収支・乗務員総時間未取得</x:v>
      </x:c>
      <x:c r="P42" s="7" t="str"/>
      <x:c r="Q42" s="7" t="str"/>
      <x:c r="R42" s="7" t="str">
        <x:v>meti_hitachi</x:v>
      </x:c>
      <x:c r="S42" s="7" t="str">
        <x:v>S310
S224</x:v>
      </x:c>
      <x:c r="T42" s="7" t="str">
        <x:v>https://www.road-to-the-l4.go.jp/publication/pdf/02-3_theme02_20260305.pdf</x:v>
      </x:c>
      <x:c r="U42" s="7" t="str">
        <x:v>https://www.mlit.go.jp/common/001263901.pdf</x:v>
      </x:c>
      <x:c r="V42" s="7" t="str">
        <x:v>SRC-615a2d613e
SRC-449f8104ca</x:v>
      </x:c>
    </x:row>
    <x:row r="43" ht="111.4000015258789" customHeight="1">
      <x:c r="A43" s="7" t="str">
        <x:v>meti_kashiwa</x:v>
      </x:c>
      <x:c r="B43" s="7" t="str">
        <x:v>柏の葉 L4路車協調</x:v>
      </x:c>
      <x:c r="C43" s="7" t="str">
        <x:v>千葉県柏市</x:v>
      </x:c>
      <x:c r="D43" s="7" t="str">
        <x:v>2026/1営業開始を確認</x:v>
      </x:c>
      <x:c r="E43" s="18" t="n">
        <x:v>46086</x:v>
      </x:c>
      <x:c r="F43" s="7" t="str">
        <x:v>経済産業省</x:v>
      </x:c>
      <x:c r="G43" s="7" t="str">
        <x:v>東京大学（幹事）
名古屋大学
産総研
三菱総合研究所
JARI
先進モビリティ
柏地域運行関係者（契約主体の詳細は追加確認）</x:v>
      </x:c>
      <x:c r="H43" s="7" t="str">
        <x:v>2021–2026</x:v>
      </x:c>
      <x:c r="I43" s="7" t="str">
        <x:v>roadl4</x:v>
      </x:c>
      <x:c r="J43" s="7" t="str"/>
      <x:c r="K43" s="7" t="str">
        <x:v>一般道の信号交差点等を含む限定区間L4</x:v>
      </x:c>
      <x:c r="L43" s="7" t="str">
        <x:v>2026/1/13サービス開始、L4 ODD約700m、最大40km/h</x:v>
      </x:c>
      <x:c r="M43" s="7" t="str">
        <x:v>信号残青情報を実運行に使用</x:v>
      </x:c>
      <x:c r="N43" s="7" t="str">
        <x:v>路線の他区間L2、切替時停車。全路線無人ではない
雨雪霧等のODD条件、周囲緊急車両等の制約
シミュレーションの交差点通過時間短縮は営業便実測でない</x:v>
      </x:c>
      <x:c r="O43" s="7" t="str">
        <x:v>路側機・遠隔監視・保守総原価未取得</x:v>
      </x:c>
      <x:c r="P43" s="7" t="str"/>
      <x:c r="Q43" s="7" t="str"/>
      <x:c r="R43" s="7" t="str">
        <x:v>meti_kashiwa</x:v>
      </x:c>
      <x:c r="S43" s="7" t="str">
        <x:v>S312</x:v>
      </x:c>
      <x:c r="T43" s="7" t="str">
        <x:v>https://www.road-to-the-l4.go.jp/publication/pdf/02-5_theme04_20260305.pdf</x:v>
      </x:c>
      <x:c r="U43" s="7" t="str"/>
      <x:c r="V43" s="7" t="str">
        <x:v>SRC-71d58a8918</x:v>
      </x:c>
    </x:row>
    <x:row r="44" ht="54.599998474121094" customHeight="1">
      <x:c r="A44" s="7" t="str">
        <x:v>meti_wajima</x:v>
      </x:c>
      <x:c r="B44" s="7" t="str">
        <x:v>輪島ラストマイル遠隔自動運転</x:v>
      </x:c>
      <x:c r="C44" s="7" t="str">
        <x:v>石川県輪島市</x:v>
      </x:c>
      <x:c r="D44" s="7" t="str">
        <x:v>国プロ後の地域継続経緯あり、2026状況不明</x:v>
      </x:c>
      <x:c r="E44" s="18" t="str">
        <x:v>2024-04</x:v>
      </x:c>
      <x:c r="F44" s="7" t="str">
        <x:v>経済産業省</x:v>
      </x:c>
      <x:c r="G44" s="7" t="str">
        <x:v>輪島商工会議所等
産総研
JARI</x:v>
      </x:c>
      <x:c r="H44" s="7" t="str">
        <x:v>2017–2024確認</x:v>
      </x:c>
      <x:c r="I44" s="7" t="str">
        <x:v>lastmile</x:v>
      </x:c>
      <x:c r="J44" s="7" t="str"/>
      <x:c r="K44" s="7" t="str">
        <x:v>市街地の遠隔型カート実証</x:v>
      </x:c>
      <x:c r="L44" s="7" t="str">
        <x:v>2017/12公道実証</x:v>
      </x:c>
      <x:c r="M44" s="7" t="str">
        <x:v>地域側が誘導線延長等を継続した経緯</x:v>
      </x:c>
      <x:c r="N44" s="7" t="str">
        <x:v>地震後の運行・車両・保守契約の現状不明。初期成功記事から継続としない</x:v>
      </x:c>
      <x:c r="O44" s="7" t="str">
        <x:v>未取得</x:v>
      </x:c>
      <x:c r="P44" s="7" t="str"/>
      <x:c r="Q44" s="7" t="str"/>
      <x:c r="R44" s="7" t="str">
        <x:v>meti_wajima</x:v>
      </x:c>
      <x:c r="S44" s="7" t="str">
        <x:v>S057
S186</x:v>
      </x:c>
      <x:c r="T44" s="7" t="str">
        <x:v>https://www.aist.go.jp/aist_j/news/announce/pr20171213.html</x:v>
      </x:c>
      <x:c r="U44" s="7" t="str">
        <x:v>https://www.jstage.jst.go.jp/article/jarijrj/2024/4/2024_JRJ20240401/_html/-char/ja</x:v>
      </x:c>
      <x:c r="V44" s="7" t="str">
        <x:v>SRC-e81ab0e964
SRC-170a29faaa</x:v>
      </x:c>
    </x:row>
    <x:row r="45" ht="54.599998474121094" customHeight="1">
      <x:c r="A45" s="7" t="str">
        <x:v>meti_chatan</x:v>
      </x:c>
      <x:c r="B45" s="7" t="str">
        <x:v>北谷町海岸沿い遠隔カート</x:v>
      </x:c>
      <x:c r="C45" s="7" t="str">
        <x:v>沖縄県北谷町</x:v>
      </x:c>
      <x:c r="D45" s="7" t="str">
        <x:v>サービス開始後の2026継続不明</x:v>
      </x:c>
      <x:c r="E45" s="18" t="str">
        <x:v>2021-03</x:v>
      </x:c>
      <x:c r="F45" s="7" t="str">
        <x:v>経済産業省</x:v>
      </x:c>
      <x:c r="G45" s="7" t="str">
        <x:v>北谷町
産総研
地域運営関係者</x:v>
      </x:c>
      <x:c r="H45" s="7" t="str">
        <x:v>2018–2021確認</x:v>
      </x:c>
      <x:c r="I45" s="7" t="str">
        <x:v>lastmile</x:v>
      </x:c>
      <x:c r="J45" s="7" t="str"/>
      <x:c r="K45" s="7" t="str">
        <x:v>町有地の海岸路線、遠隔1人対2台</x:v>
      </x:c>
      <x:c r="L45" s="7" t="str">
        <x:v>2018実証、2021/3/31サービス開始</x:v>
      </x:c>
      <x:c r="M45" s="7" t="str">
        <x:v>複数車両遠隔管理の技術成果</x:v>
      </x:c>
      <x:c r="N45" s="7" t="str">
        <x:v>公道でない町有地、車内保安員あり。道路L4無人と同列でない</x:v>
      </x:c>
      <x:c r="O45" s="7" t="str">
        <x:v>未取得</x:v>
      </x:c>
      <x:c r="P45" s="7" t="str"/>
      <x:c r="Q45" s="7" t="str"/>
      <x:c r="R45" s="7" t="str">
        <x:v>meti_chatan</x:v>
      </x:c>
      <x:c r="S45" s="7" t="str">
        <x:v>S056
S224</x:v>
      </x:c>
      <x:c r="T45" s="7" t="str">
        <x:v>https://www.aist.go.jp/Portals/0/resource_images/aist_j/topics/to2021/to20210330/chatan_lastmile.pdf</x:v>
      </x:c>
      <x:c r="U45" s="7" t="str">
        <x:v>https://www.mlit.go.jp/common/001263901.pdf</x:v>
      </x:c>
      <x:c r="V45" s="7" t="str">
        <x:v>SRC-a37d4e2ae5
SRC-449f8104ca</x:v>
      </x:c>
    </x:row>
    <x:row r="46" ht="83" customHeight="1">
      <x:c r="A46" s="7" t="str">
        <x:v>meti_shintomei</x:v>
      </x:c>
      <x:c r="B46" s="7" t="str">
        <x:v>新東名トラック隊列→高速L4</x:v>
      </x:c>
      <x:c r="C46" s="7" t="str">
        <x:v>静岡県・新東名高速</x:v>
      </x:c>
      <x:c r="D46" s="7" t="str">
        <x:v>実証・社会実装準備</x:v>
      </x:c>
      <x:c r="E46" s="18" t="n">
        <x:v>46086</x:v>
      </x:c>
      <x:c r="F46" s="7" t="str">
        <x:v>経済産業省
国土交通省</x:v>
      </x:c>
      <x:c r="G46" s="7" t="str">
        <x:v>経産省
国交省
車両メーカー
物流事業者
テーマ3コンソーシアム</x:v>
      </x:c>
      <x:c r="H46" s="7" t="str">
        <x:v>2016–2026</x:v>
      </x:c>
      <x:c r="I46" s="7" t="str">
        <x:v>platoon
roadl4</x:v>
      </x:c>
      <x:c r="J46" s="7" t="str"/>
      <x:c r="K46" s="7" t="str">
        <x:v>有人隊列から後続運転席無人、単独L4/物流拠点接続へ</x:v>
      </x:c>
      <x:c r="L46" s="7" t="str">
        <x:v>2018有人隊列、2021/2後続車運転席無人実証
2026報告：駿河湾沼津～浜松等で少数車両実証</x:v>
      </x:c>
      <x:c r="M46" s="7" t="str">
        <x:v>運行・遠隔監視・駆付け・代替輸送・拠点・保険の責任分担を具体化</x:v>
      </x:c>
      <x:c r="N46" s="7" t="str">
        <x:v>2021/2022商用化は過去の目標。2026以降の東京名古屋実装や2030台数は計画
高速区間だけ自動化しても有人前後区間・荷役・緊急対応は残る</x:v>
      </x:c>
      <x:c r="O46" s="7" t="str">
        <x:v>運行会社別採算・保険費・駆付け費未公開/未取得</x:v>
      </x:c>
      <x:c r="P46" s="7" t="str"/>
      <x:c r="Q46" s="7" t="str"/>
      <x:c r="R46" s="7" t="str">
        <x:v>meti_shintomei</x:v>
      </x:c>
      <x:c r="S46" s="7" t="str">
        <x:v>S241
S208
S311</x:v>
      </x:c>
      <x:c r="T46" s="7" t="str">
        <x:v>https://www.mlit.go.jp/report/press/jidosha07_hh_000286.html</x:v>
      </x:c>
      <x:c r="U46" s="7" t="str">
        <x:v>https://www.meti.go.jp/policy/mono_info_service/mono/automobile/jido_soko/pdf/012_s01_00.pdf
https://www.road-to-the-l4.go.jp/publication/pdf/02-4_theme03_20260305.pdf</x:v>
      </x:c>
      <x:c r="V46" s="7" t="str">
        <x:v>SRC-c5593d93c5
SRC-63ba9ee69f
SRC-ff789031bc</x:v>
      </x:c>
    </x:row>
    <x:row r="47" ht="83" customHeight="1">
      <x:c r="A47" s="7" t="str">
        <x:v>meti_kosai</x:v>
      </x:c>
      <x:c r="B47" s="7" t="str">
        <x:v>企業シャトルBaaS</x:v>
      </x:c>
      <x:c r="C47" s="7" t="str">
        <x:v>静岡県湖西市</x:v>
      </x:c>
      <x:c r="D47" s="7" t="str">
        <x:v>2026/1通年化を確認</x:v>
      </x:c>
      <x:c r="E47" s="18" t="n">
        <x:v>46108</x:v>
      </x:c>
      <x:c r="F47" s="7" t="str">
        <x:v>経済産業省</x:v>
      </x:c>
      <x:c r="G47" s="7" t="str">
        <x:v>湖西市
デンソー湖西製作所・豊橋東製作所
浜名湖電装
送迎運行関係者</x:v>
      </x:c>
      <x:c r="H47" s="7" t="str">
        <x:v>2020–2026</x:v>
      </x:c>
      <x:c r="I47" s="7" t="str">
        <x:v>smc</x:v>
      </x:c>
      <x:c r="J47" s="7" t="str"/>
      <x:c r="K47" s="7" t="str">
        <x:v>企業従業員用シャトルの空席を市民利用</x:v>
      </x:c>
      <x:c r="L47" s="7" t="str">
        <x:v>FY2024 5か月505人利用
登録・予約なし利用へ簡素化</x:v>
      </x:c>
      <x:c r="M47" s="7" t="str">
        <x:v>通年運行へ移行。既存輸送資源の開放という実装</x:v>
      </x:c>
      <x:c r="N47" s="7" t="str">
        <x:v>FY2029年1,500人は目標。5か月505人の実績と年間目標は期間が異なるため単純比較しない
アプリ高度化ではなく利用手続き削減の寄与が示唆されるが因果効果未推定</x:v>
      </x:c>
      <x:c r="O47" s="7" t="str">
        <x:v>総原価・企業負担・市負担の決算未確認</x:v>
      </x:c>
      <x:c r="P47" s="7" t="str"/>
      <x:c r="Q47" s="7" t="str"/>
      <x:c r="R47" s="7" t="str">
        <x:v>meti_kosai</x:v>
      </x:c>
      <x:c r="S47" s="7" t="str">
        <x:v>S079
S080
S215
S081</x:v>
      </x:c>
      <x:c r="T47" s="7" t="str">
        <x:v>https://www.city.kosai.shizuoka.jp/material/files/group/26/shiryou1sannkou.pdf</x:v>
      </x:c>
      <x:c r="U47" s="7" t="str">
        <x:v>https://www.city.kosai.shizuoka.jp/material/files/group/9/20250310_007_dx.pdf
https://www.meti.go.jp/shingikai/mono_info_service/smart_mobility_challenge/pdf/20260327_5.pdf
https://www.city.kosai.shizuoka.jp/soshikiichiran/toshikeikakuka/gyomuannai/koutuu/kigyousyatorubaas/10651.html</x:v>
      </x:c>
      <x:c r="V47" s="7" t="str">
        <x:v>SRC-65d143b215
SRC-f906f5adbb
SRC-4170ff9960
SRC-daa1cc130f</x:v>
      </x:c>
    </x:row>
    <x:row r="48" ht="83" customHeight="1">
      <x:c r="A48" s="7" t="str">
        <x:v>meti_kasugai</x:v>
      </x:c>
      <x:c r="B48" s="7" t="str">
        <x:v>石尾台おでかけサービス</x:v>
      </x:c>
      <x:c r="C48" s="7" t="str">
        <x:v>愛知県春日井市</x:v>
      </x:c>
      <x:c r="D48" s="7" t="str">
        <x:v>継続、2026運営技術体制変更</x:v>
      </x:c>
      <x:c r="E48" s="18" t="n">
        <x:v>46153</x:v>
      </x:c>
      <x:c r="F48" s="7" t="str">
        <x:v>経済産業省</x:v>
      </x:c>
      <x:c r="G48" s="7" t="str">
        <x:v>住民NPO石尾台おでかけサービス協議会
春日井市
名古屋大学
エクセイド
KDDI→未来シェア</x:v>
      </x:c>
      <x:c r="H48" s="7" t="str">
        <x:v>2021–2026</x:v>
      </x:c>
      <x:c r="I48" s="7" t="str">
        <x:v>smc</x:v>
      </x:c>
      <x:c r="J48" s="7" t="str"/>
      <x:c r="K48" s="7" t="str">
        <x:v>坂のある住宅地の自家用有償・電話予約送迎、L2運転支援</x:v>
      </x:c>
      <x:c r="L48" s="7" t="str">
        <x:v>2022手動開始、2023 L2化
128停留所範囲、7人乗りカート（L2紹介時）</x:v>
      </x:c>
      <x:c r="M48" s="7" t="str">
        <x:v>住民運行主体・市の車両提供・大学/企業の技術を分担</x:v>
      </x:c>
      <x:c r="N48" s="7" t="str">
        <x:v>L2、路駐等では手動。運転者と電話受付が必要
市ページに旧/新車両定員の併記あり。現行ダイヤ/料金は別確認が必要</x:v>
      </x:c>
      <x:c r="O48" s="7" t="str">
        <x:v>2022開始案内運賃：非会員300円、会員100円。2026料金再確認要
総原価・ボランティア換算人件費未取得</x:v>
      </x:c>
      <x:c r="P48" s="7" t="str"/>
      <x:c r="Q48" s="7" t="str"/>
      <x:c r="R48" s="7" t="str">
        <x:v>meti_kasugai</x:v>
      </x:c>
      <x:c r="S48" s="7" t="str">
        <x:v>S071
S281</x:v>
      </x:c>
      <x:c r="T48" s="7" t="str">
        <x:v>https://www.city.kasugai.lg.jp/shisei/machi/new_town/1022354/1024425/index.html</x:v>
      </x:c>
      <x:c r="U48" s="7" t="str">
        <x:v>https://www.mobilitychallenge.go.jp/introduction/</x:v>
      </x:c>
      <x:c r="V48" s="7" t="str">
        <x:v>SRC-2f236bc8f2
SRC-ac2f0f15e2</x:v>
      </x:c>
    </x:row>
    <x:row r="49" ht="296" customHeight="1">
      <x:c r="A49" s="7" t="str">
        <x:v>meti_mitoyo</x:v>
      </x:c>
      <x:c r="B49" s="7" t="str">
        <x:v>ゴイッショみとよ共同送迎</x:v>
      </x:c>
      <x:c r="C49" s="7" t="str">
        <x:v>香川県三豊市</x:v>
      </x:c>
      <x:c r="D49" s="7" t="str">
        <x:v>継続・2026異業種へ拡張</x:v>
      </x:c>
      <x:c r="E49" s="18" t="n">
        <x:v>46326</x:v>
      </x:c>
      <x:c r="F49" s="7" t="str">
        <x:v>経済産業省</x:v>
      </x:c>
      <x:c r="G49" s="7" t="str">
        <x:v>三豊市
市社会福祉協議会→MiLAIS
本山タクシー等
ダイハツ</x:v>
      </x:c>
      <x:c r="H49" s="7" t="str">
        <x:v>2020–2026</x:v>
      </x:c>
      <x:c r="I49" s="7" t="str">
        <x:v>smc</x:v>
      </x:c>
      <x:c r="J49" s="7" t="str"/>
      <x:c r="K49" s="7" t="str">
        <x:v>通所介護施設ごとの送迎を共同化・外部委託</x:v>
      </x:c>
      <x:c r="L49" s="7" t="str">
        <x:v>2022/6本格運行、2025/4運営主体移管
2026放課後等デイサービスも対象
FY2022：登録51人、送迎実績5,925回、5台、運転スタッフ11人/運営2人、2法人2施設
FY2023：登録90人、送迎実績3,140回、10台、運転11人/運営2人、2法人2施設
FY2024：登録104人、送迎実績2,955回、10台、運転10人/運営2人、2法人2施設</x:v>
      </x:c>
      <x:c r="M49" s="7" t="str">
        <x:v>2020実証で運行車両約20%削減（国交省整理資料）
介護職の送迎業務を分離し本来業務に時間を回す構造
FY2024社協報告は送迎人数減少、新施設参画なしと明記。2025移管は複数交通サービス・人員/車両を集約し持続性を高める狙い</x:v>
      </x:c>
      <x:c r="N49" s="7" t="str">
        <x:v>車両20%削減は2020実証値で現在値でない
共同運行への移転コスト・施設別費用配分と実総労働時間は別検証
国交省横断事例集は収支非公開とするが、社協決算で当該区分の後年数値を確認できた。最新・詳細原資料を優先
FY2022とFY2023の送迎実績数は、後年資料が人数増を記す一方で数値が小さい。往復/片道、人数/車両便など計数定義未確認のため単純増減率・単価を計算しない
スタッフ人数は常勤換算や同時乗務人数でない。10台も常時同時運用と解釈しない
公費を含めた資金収支均衡は補助なし自立採算を意味しない。MiLAIS移管後の費用と実績は未取得</x:v>
      </x:c>
      <x:c r="O49" s="7" t="str">
        <x:v>社協事業報告の事業費：FY2022 11,874,351円、FY2023 20,498,919円、FY2024 20,031,176円
FY2024決算の地域移動支援区分：資金収入/支出とも20,031,176円。市補助7,700,000円、市受託3,424,938円、その他受託8,906,238円
FY2024主な支出：人件費2,437,792円、業務委託費12,218,631円、賃借料3,951,868円。損益ベースのサービス活動費用20,135,254円、差額▲104,078円
FY2024: 集計基準: 社会福祉法人会計、地域移動支援事業区分。円
収入（現金主義）: 20031176
支出（現金主義）: 20031176
自治体補助金: 7700000
自治体委託料: 3424938
その他委託料: 8906238
人件費: 2437792
業務委託費: 12218631
賃借料: 3951868
事業活動支出（発生主義）: 20135254
事業活動差額（発生主義）: -104078
根拠URL: https://www.mitoyoshakyo.or.jp/archives/014/202506/R6%E5%B9%B4%E5%BA%A6%E6%B1%BA%E7%AE%97%E6%9B%B8.pdf
該当箇所: 印刷pp.28–29（PDF pp.30–31）資金収支、pp.40–41（PDF pp.42–43）事業活動、地域移動支援事業列</x:v>
      </x:c>
      <x:c r="P49" s="7" t="str"/>
      <x:c r="Q49" s="7" t="str"/>
      <x:c r="R49" s="7" t="str">
        <x:v>meti_mitoyo</x:v>
      </x:c>
      <x:c r="S49" s="7" t="str">
        <x:v>S090
S091
S128
S338
S211
S217
S218
S219
S220</x:v>
      </x:c>
      <x:c r="T49" s="7" t="str">
        <x:v>https://www.city.mitoyo.lg.jp/hotnews_old/reiwa2/hot2010/7339.html</x:v>
      </x:c>
      <x:c r="U49" s="7" t="str">
        <x:v>https://www.city.mitoyo.lg.jp/hotnews_old/reiwa4/202206hot/9757.html
https://www.daihatsu.co.jp/goissho/oshirase/d8f2f70000000151.htm
https://wwwtb.mlit.go.jp/chugoku/content/000370683.pdf
https://www.meti.go.jp/shingikai/mono_info_service/smart_mobility_challenge/pdf/20220405_01_s01.pdf
https://www.mitoyoshakyo.or.jp/archives/014/202306/%E4%BB%A4%E5%92%8C%EF%BC%94%E5%B9%B4%E5%BA%A6%E4%BA%8B%E6%A5%AD%E5%A0%B1%E5%91%8A%E6%9B%B8.pdf
https://www.mitoyoshakyo.or.jp/archives/014/202407/%E2%98%85HP%E2%98%85R%EF%BC%95%E5%B9%B4%E5%BA%A6%E4%BA%8B%E6%A5%AD%E5%A0%B1%E5%91%8A%E6%9B%B8.pdf
https://www.mitoyoshakyo.or.jp/archives/014/202506/R6%E5%B9%B4%E5%BA%A6%E4%BA%8B%E6%A5%AD%E5%A0%B1%E5%91%8A%E6%9B%B8.pdf
https://www.mitoyoshakyo.or.jp/archives/014/202506/R6%E5%B9%B4%E5%BA%A6%E6%B1%BA%E7%AE%97%E6%9B%B8.pdf</x:v>
      </x:c>
      <x:c r="V49" s="7" t="str">
        <x:v>SRC-64c0e37087
SRC-e037e71a0a
SRC-919bf820f3
SRC-e178e960c2
SRC-91c991f144
SRC-38a27b55b4
SRC-904a5fb434
SRC-70a43f8cc7
SRC-23e63440fd</x:v>
      </x:c>
    </x:row>
    <x:row r="50" ht="54.599998474121094" customHeight="1">
      <x:c r="A50" s="7" t="str">
        <x:v>meti_yasu</x:v>
      </x:c>
      <x:c r="B50" s="7" t="str">
        <x:v>ゴイッショやす</x:v>
      </x:c>
      <x:c r="C50" s="7" t="str">
        <x:v>滋賀県野洲市</x:v>
      </x:c>
      <x:c r="D50" s="7" t="str">
        <x:v>2024/10有償本格運行、2025継続確認</x:v>
      </x:c>
      <x:c r="E50" s="18" t="n">
        <x:v>45875</x:v>
      </x:c>
      <x:c r="F50" s="7" t="str">
        <x:v>経済産業省</x:v>
      </x:c>
      <x:c r="G50" s="7" t="str">
        <x:v>野洲市
やす地域共生社会推進協会
ダイハツ</x:v>
      </x:c>
      <x:c r="H50" s="7" t="str">
        <x:v>2023–2025確認</x:v>
      </x:c>
      <x:c r="I50" s="7" t="str">
        <x:v>smc</x:v>
      </x:c>
      <x:c r="J50" s="7" t="str"/>
      <x:c r="K50" s="7" t="str">
        <x:v>通所介護共同送迎の横展開</x:v>
      </x:c>
      <x:c r="L50" s="7" t="str">
        <x:v>2023実証→2024/10正式運行</x:v>
      </x:c>
      <x:c r="M50" s="7" t="str">
        <x:v>職員の掃除・片づけ等の時間負担変化を調査</x:v>
      </x:c>
      <x:c r="N50" s="7" t="str">
        <x:v>三豊系モデルの比較事例。METI直接採択とはここでは認定しない
介護時間改善の定量因果評価は未取得</x:v>
      </x:c>
      <x:c r="O50" s="7" t="str">
        <x:v>費用明細未取得</x:v>
      </x:c>
      <x:c r="P50" s="7" t="str"/>
      <x:c r="Q50" s="7" t="str"/>
      <x:c r="R50" s="7" t="str">
        <x:v>meti_yasu</x:v>
      </x:c>
      <x:c r="S50" s="7" t="str">
        <x:v>S121</x:v>
      </x:c>
      <x:c r="T50" s="7" t="str">
        <x:v>https://www.city.yasu.lg.jp/material/files/group/68/shiryou2_20250806.pdf</x:v>
      </x:c>
      <x:c r="U50" s="7" t="str"/>
      <x:c r="V50" s="7" t="str">
        <x:v>SRC-ee08c116a0</x:v>
      </x:c>
    </x:row>
    <x:row r="51" ht="54.599998474121094" customHeight="1">
      <x:c r="A51" s="7" t="str">
        <x:v>meti_iruma</x:v>
      </x:c>
      <x:c r="B51" s="7" t="str">
        <x:v>ASOVO 健康・移動支援</x:v>
      </x:c>
      <x:c r="C51" s="7" t="str">
        <x:v>埼玉県入間市</x:v>
      </x:c>
      <x:c r="D51" s="7" t="str">
        <x:v>実証後の2026継続不明</x:v>
      </x:c>
      <x:c r="E51" s="18" t="str">
        <x:v>2022-09</x:v>
      </x:c>
      <x:c r="F51" s="7" t="str">
        <x:v>経済産業省</x:v>
      </x:c>
      <x:c r="G51" s="7" t="str">
        <x:v>入間市
産官学連携主体</x:v>
      </x:c>
      <x:c r="H51" s="7" t="str">
        <x:v>2021–2022確認</x:v>
      </x:c>
      <x:c r="I51" s="7" t="str">
        <x:v>smc</x:v>
      </x:c>
      <x:c r="J51" s="7" t="str"/>
      <x:c r="K51" s="7" t="str">
        <x:v>健康・外出・交通を連携</x:v>
      </x:c>
      <x:c r="L51" s="7" t="str">
        <x:v>2021–2022 SMC採択紹介、2022市公約進捗に記載</x:v>
      </x:c>
      <x:c r="M51" s="7" t="str">
        <x:v>健康便益を交通費用の支払いに接続する仮説</x:v>
      </x:c>
      <x:c r="N51" s="7" t="str">
        <x:v>健康改善・医療費削減を期待から実績へ読み替えない</x:v>
      </x:c>
      <x:c r="O51" s="7" t="str">
        <x:v>医療費削減実額・運行費未取得</x:v>
      </x:c>
      <x:c r="P51" s="7" t="str"/>
      <x:c r="Q51" s="7" t="str"/>
      <x:c r="R51" s="7" t="str">
        <x:v>meti_iruma</x:v>
      </x:c>
      <x:c r="S51" s="7" t="str">
        <x:v>S069
S281
S280</x:v>
      </x:c>
      <x:c r="T51" s="7" t="str">
        <x:v>https://www.city.iruma.saitama.jp/material/files/group/4/kouyaku-shinchoku-R0409.pdf</x:v>
      </x:c>
      <x:c r="U51" s="7" t="str">
        <x:v>https://www.mobilitychallenge.go.jp/introduction/
https://www.mobilitychallenge.go.jp/findings/</x:v>
      </x:c>
      <x:c r="V51" s="7" t="str">
        <x:v>SRC-04660a1fbc
SRC-ac2f0f15e2
SRC-c150664ffa</x:v>
      </x:c>
    </x:row>
    <x:row r="52" ht="40.400001525878906" customHeight="1">
      <x:c r="A52" s="7" t="str">
        <x:v>meti_mie6</x:v>
      </x:c>
      <x:c r="B52" s="7" t="str">
        <x:v>三重6町 医療MaaS</x:v>
      </x:c>
      <x:c r="C52" s="7" t="str">
        <x:v>三重県多気・大台・明和・度会・大紀・紀北町</x:v>
      </x:c>
      <x:c r="D52" s="7" t="str">
        <x:v>複数年実証、個別2026サービス継続未確認</x:v>
      </x:c>
      <x:c r="E52" s="18" t="str">
        <x:v>2023</x:v>
      </x:c>
      <x:c r="F52" s="7" t="str">
        <x:v>経済産業省</x:v>
      </x:c>
      <x:c r="G52" s="7" t="str">
        <x:v>6町
MONET等医療交通関係者</x:v>
      </x:c>
      <x:c r="H52" s="7" t="str">
        <x:v>2021–2023確認</x:v>
      </x:c>
      <x:c r="I52" s="7" t="str">
        <x:v>smc</x:v>
      </x:c>
      <x:c r="J52" s="7" t="str"/>
      <x:c r="K52" s="7" t="str">
        <x:v>車両を活用した医療・行政等のマルチタスクサービス</x:v>
      </x:c>
      <x:c r="L52" s="7" t="str">
        <x:v>2021–2023年度採択紹介に掲載</x:v>
      </x:c>
      <x:c r="M52" s="7" t="str">
        <x:v>患者の移動を医療側の移動へ置換する設計</x:v>
      </x:c>
      <x:c r="N52" s="7" t="str">
        <x:v>実装状況は町・医療機能別に再照合が必要。6町一括成功としない</x:v>
      </x:c>
      <x:c r="O52" s="7" t="str">
        <x:v>支払意思額調査の原表・実収入未取得</x:v>
      </x:c>
      <x:c r="P52" s="7" t="str"/>
      <x:c r="Q52" s="7" t="str"/>
      <x:c r="R52" s="7" t="str">
        <x:v>meti_mie6</x:v>
      </x:c>
      <x:c r="S52" s="7" t="str">
        <x:v>S281</x:v>
      </x:c>
      <x:c r="T52" s="7" t="str">
        <x:v>https://www.mobilitychallenge.go.jp/introduction/</x:v>
      </x:c>
      <x:c r="U52" s="7" t="str"/>
      <x:c r="V52" s="7" t="str">
        <x:v>SRC-ac2f0f15e2</x:v>
      </x:c>
    </x:row>
    <x:row r="53" ht="54.599998474121094" customHeight="1">
      <x:c r="A53" s="7" t="str">
        <x:v>meti_oda</x:v>
      </x:c>
      <x:c r="B53" s="7" t="str">
        <x:v>大田市 医療車両共同利用</x:v>
      </x:c>
      <x:c r="C53" s="7" t="str">
        <x:v>島根県大田市</x:v>
      </x:c>
      <x:c r="D53" s="7" t="str">
        <x:v>成果報告あり、恒常運行は未確認</x:v>
      </x:c>
      <x:c r="E53" s="18" t="n">
        <x:v>46108</x:v>
      </x:c>
      <x:c r="F53" s="7" t="str">
        <x:v>経済産業省</x:v>
      </x:c>
      <x:c r="G53" s="7" t="str">
        <x:v>仁寿会
大田市立病院
石見銀山テレビ放送等</x:v>
      </x:c>
      <x:c r="H53" s="7" t="str">
        <x:v>2025–2026</x:v>
      </x:c>
      <x:c r="I53" s="7" t="str">
        <x:v>smc</x:v>
      </x:c>
      <x:c r="J53" s="7" t="str"/>
      <x:c r="K53" s="7" t="str">
        <x:v>複数医療機関の車両共同利用・地域事業者運行/配車</x:v>
      </x:c>
      <x:c r="L53" s="7" t="str">
        <x:v>2025採択、2026成果報告p.262</x:v>
      </x:c>
      <x:c r="M53" s="7" t="str">
        <x:v>医師移動負担軽減・車両効率化を検証対象化</x:v>
      </x:c>
      <x:c r="N53" s="7" t="str">
        <x:v>診療実績や医師時間削減の数値を未確認。採択資料の効果は目標</x:v>
      </x:c>
      <x:c r="O53" s="7" t="str">
        <x:v>車種別原価比較は計画。実収支未取得</x:v>
      </x:c>
      <x:c r="P53" s="7" t="str"/>
      <x:c r="Q53" s="7" t="str"/>
      <x:c r="R53" s="7" t="str">
        <x:v>meti_oda</x:v>
      </x:c>
      <x:c r="S53" s="7" t="str">
        <x:v>S203
S214</x:v>
      </x:c>
      <x:c r="T53" s="7" t="str">
        <x:v>https://www.meti.go.jp/policy/automobile/caseyosan/PDF/r7saitaku.pdf</x:v>
      </x:c>
      <x:c r="U53" s="7" t="str">
        <x:v>https://www.meti.go.jp/shingikai/mono_info_service/smart_mobility_challenge/pdf/20260327_3.pdf</x:v>
      </x:c>
      <x:c r="V53" s="7" t="str">
        <x:v>SRC-c774062e99
SRC-c1bd878bf7</x:v>
      </x:c>
    </x:row>
    <x:row r="54" ht="40.400001525878906" customHeight="1">
      <x:c r="A54" s="7" t="str">
        <x:v>meti_senboku</x:v>
      </x:c>
      <x:c r="B54" s="7" t="str">
        <x:v>仙北市リース・シェア連携</x:v>
      </x:c>
      <x:c r="C54" s="7" t="str">
        <x:v>秋田県仙北市</x:v>
      </x:c>
      <x:c r="D54" s="7" t="str">
        <x:v>採択確認、恒常化・採算未確認</x:v>
      </x:c>
      <x:c r="E54" s="18" t="n">
        <x:v>45761</x:v>
      </x:c>
      <x:c r="F54" s="7" t="str">
        <x:v>経済産業省</x:v>
      </x:c>
      <x:c r="G54" s="7" t="str">
        <x:v>E.G.Engineering
仙北地域関係者</x:v>
      </x:c>
      <x:c r="H54" s="7" t="str">
        <x:v>2025–2026</x:v>
      </x:c>
      <x:c r="I54" s="7" t="str">
        <x:v>smc</x:v>
      </x:c>
      <x:c r="J54" s="7" t="str"/>
      <x:c r="K54" s="7" t="str">
        <x:v>リース車両と地域シェアの組合せ</x:v>
      </x:c>
      <x:c r="L54" s="7" t="str">
        <x:v>FY2025全国5地域の1つ</x:v>
      </x:c>
      <x:c r="M54" s="7" t="str">
        <x:v>未確認</x:v>
      </x:c>
      <x:c r="N54" s="7" t="str">
        <x:v>非公式記事の利用件数/採算値は原表未取得のため不採用</x:v>
      </x:c>
      <x:c r="O54" s="7" t="str">
        <x:v>未確認</x:v>
      </x:c>
      <x:c r="P54" s="7" t="str"/>
      <x:c r="Q54" s="7" t="str"/>
      <x:c r="R54" s="7" t="str">
        <x:v>meti_senboku</x:v>
      </x:c>
      <x:c r="S54" s="7" t="str">
        <x:v>S318</x:v>
      </x:c>
      <x:c r="T54" s="7" t="str">
        <x:v>https://www.tohoku.meti.go.jp/koho/koshin/kobo/saitaku/2025/s250414001.html</x:v>
      </x:c>
      <x:c r="U54" s="7" t="str"/>
      <x:c r="V54" s="7" t="str">
        <x:v>SRC-02600a6610</x:v>
      </x:c>
    </x:row>
    <x:row r="55" ht="40.400001525878906" customHeight="1">
      <x:c r="A55" s="7" t="str">
        <x:v>meti_yatomi</x:v>
      </x:c>
      <x:c r="B55" s="7" t="str">
        <x:v>チョイソコやとみ 第3期実証</x:v>
      </x:c>
      <x:c r="C55" s="7" t="str">
        <x:v>愛知県弥富市</x:v>
      </x:c>
      <x:c r="D55" s="7" t="str">
        <x:v>当該実証終了、2026後続未確認</x:v>
      </x:c>
      <x:c r="E55" s="18" t="str">
        <x:v>2024</x:v>
      </x:c>
      <x:c r="F55" s="7" t="str">
        <x:v>経済産業省</x:v>
      </x:c>
      <x:c r="G55" s="7" t="str">
        <x:v>弥富市
アイシン等</x:v>
      </x:c>
      <x:c r="H55" s="7" t="str">
        <x:v>2023–2024</x:v>
      </x:c>
      <x:c r="I55" s="7" t="str">
        <x:v>smc</x:v>
      </x:c>
      <x:c r="J55" s="7" t="str"/>
      <x:c r="K55" s="7" t="str">
        <x:v>週2日オンデマンド乗合</x:v>
      </x:c>
      <x:c r="L55" s="7" t="str">
        <x:v>2023/6/2–11/28、607人、546予約、乗合率1.5、6,630km</x:v>
      </x:c>
      <x:c r="M55" s="7" t="str">
        <x:v>1日約12人、目標15人/日未達（この実証）</x:v>
      </x:c>
      <x:c r="N55" s="7" t="str">
        <x:v>経費の初期費/平常費分解未取得。定常サービスの原価としない
全国チョイソコやMaaSの採算一般化不可。METI直接採択確認なし</x:v>
      </x:c>
      <x:c r="O55" s="7" t="str">
        <x:v>運行経費8,684,170円、14,307円/利用者
運賃収入192,700円（無料券25,800円相当含む）</x:v>
      </x:c>
      <x:c r="P55" s="7" t="str"/>
      <x:c r="Q55" s="7" t="str"/>
      <x:c r="R55" s="7" t="str">
        <x:v>meti_yatomi</x:v>
      </x:c>
      <x:c r="S55" s="7" t="str">
        <x:v>S122</x:v>
      </x:c>
      <x:c r="T55" s="7" t="str">
        <x:v>https://www.city.yatomi.lg.jp/_res/projects/default_project/_page_/001/005/389/R50401.pdf</x:v>
      </x:c>
      <x:c r="U55" s="7" t="str"/>
      <x:c r="V55" s="7" t="str">
        <x:v>SRC-af58c7d8c3</x:v>
      </x:c>
    </x:row>
    <x:row r="56" ht="68.80000305175781" customHeight="1">
      <x:c r="A56" s="7" t="str">
        <x:v>meti_tepco_v2g</x:v>
      </x:c>
      <x:c r="B56" s="7" t="str">
        <x:v>TEPCO V2G複数拠点</x:v>
      </x:c>
      <x:c r="C56" s="7" t="str">
        <x:v>静岡県富士市等・愛知県岡崎市等</x:v>
      </x:c>
      <x:c r="D56" s="7" t="str">
        <x:v>実証終了後の同方式商用継続不明</x:v>
      </x:c>
      <x:c r="E56" s="18" t="str">
        <x:v>2021</x:v>
      </x:c>
      <x:c r="F56" s="7" t="str">
        <x:v>経済産業省</x:v>
      </x:c>
      <x:c r="G56" s="7" t="str">
        <x:v>東京電力HD/EP/PG
三菱自動車
静岡ガス
日立系企業等</x:v>
      </x:c>
      <x:c r="H56" s="7" t="str">
        <x:v>2018–2021</x:v>
      </x:c>
      <x:c r="I56" s="7" t="str">
        <x:v>vpp</x:v>
      </x:c>
      <x:c r="J56" s="7" t="str"/>
      <x:c r="K56" s="7" t="str">
        <x:v>社用EV/PHEVを複数拠点から統合制御</x:v>
      </x:c>
      <x:c r="L56" s="7" t="str">
        <x:v>2018年度17台→2019年度59台
2020年度延べ72時間144コマ：全サイト合計実績は±10%内104コマ72.2%。サイト間融通なしの想定は91コマ63.2%（実績と反実仮想の比較）</x:v>
      </x:c>
      <x:c r="M56" s="7" t="str">
        <x:v>制御可能性を確認する一方、車両離脱・接続台数減少の制約を把握</x:v>
      </x:c>
      <x:c r="N56" s="7" t="str">
        <x:v>計画通り接続しないEV、コロナ下の利用行動を含む結果。定置電池と同じ稼働前提にしない</x:v>
      </x:c>
      <x:c r="O56" s="7" t="str">
        <x:v>機器費・通信費・電池劣化込み採算は未確認</x:v>
      </x:c>
      <x:c r="P56" s="7" t="str"/>
      <x:c r="Q56" s="7" t="str"/>
      <x:c r="R56" s="7" t="str">
        <x:v>meti_tepco_v2g</x:v>
      </x:c>
      <x:c r="S56" s="7" t="str">
        <x:v>S221
S329
S039</x:v>
      </x:c>
      <x:c r="T56" s="7" t="str">
        <x:v>https://www.mitsubishi-motors.com/jp/newsroom/newsrelease/2019/20190226_1.html</x:v>
      </x:c>
      <x:c r="U56" s="7" t="str">
        <x:v>https://www4.tepco.co.jp/press/release/2020/pdf2/200608j0101.pdf
https://sii.or.jp/vpp02/uploads/B2_tepco.pdf</x:v>
      </x:c>
      <x:c r="V56" s="7" t="str">
        <x:v>SRC-08ae54183f
SRC-26c765527b
SRC-32212cfeb1</x:v>
      </x:c>
    </x:row>
    <x:row r="57" ht="83" customHeight="1">
      <x:c r="A57" s="7" t="str">
        <x:v>meti_kyushu_v2g</x:v>
      </x:c>
      <x:c r="B57" s="7" t="str">
        <x:v>九州V2G</x:v>
      </x:c>
      <x:c r="C57" s="7" t="str">
        <x:v>九州6拠点</x:v>
      </x:c>
      <x:c r="D57" s="7" t="str">
        <x:v>実証成果確認、同実証商用継続不明</x:v>
      </x:c>
      <x:c r="E57" s="18" t="str">
        <x:v>2021-08</x:v>
      </x:c>
      <x:c r="F57" s="7" t="str">
        <x:v>経済産業省</x:v>
      </x:c>
      <x:c r="G57" s="7" t="str">
        <x:v>九州電力
電力中央研究所
日産
三菱自動車
三菱電機</x:v>
      </x:c>
      <x:c r="H57" s="7" t="str">
        <x:v>2018–2021</x:v>
      </x:c>
      <x:c r="I57" s="7" t="str">
        <x:v>vpp</x:v>
      </x:c>
      <x:c r="J57" s="7" t="str"/>
      <x:c r="K57" s="7" t="str">
        <x:v>EV蓄電池を調整力化、所有者受容・事業性調査</x:v>
      </x:c>
      <x:c r="L57" s="7" t="str">
        <x:v>2019年度6拠点16台、指令応答1分以内
2019/12全国EV所有者664人調査</x:v>
      </x:c>
      <x:c r="M57" s="7" t="str">
        <x:v>報酬条件付き参加意向7～8割。一方で劣化/残量/時間拘束への不安
当時条件では調整力市場収入のみで採算困難と研究報告</x:v>
      </x:c>
      <x:c r="N57" s="7" t="str">
        <x:v>120万台・接続率100%等のシミュレーション便益は実測でない
参加意向と実際の継続参加率を分離</x:v>
      </x:c>
      <x:c r="O57" s="7" t="str">
        <x:v>高額充放電機器費等が事業性制約。現行価格への外挿不可</x:v>
      </x:c>
      <x:c r="P57" s="7" t="str"/>
      <x:c r="Q57" s="7" t="str"/>
      <x:c r="R57" s="7" t="str">
        <x:v>meti_kyushu_v2g</x:v>
      </x:c>
      <x:c r="S57" s="7" t="str">
        <x:v>S197
S007</x:v>
      </x:c>
      <x:c r="T57" s="7" t="str">
        <x:v>https://www.kyuden.co.jp/company/history/energy/technology/technology-2.html</x:v>
      </x:c>
      <x:c r="U57" s="7" t="str">
        <x:v>https://criepi.denken.or.jp/hokokusho/pb/reportDetail?reportNoUkCode=GD21001</x:v>
      </x:c>
      <x:c r="V57" s="7" t="str">
        <x:v>SRC-7647633cb4
SRC-ae053c7dd8</x:v>
      </x:c>
    </x:row>
    <x:row r="58" ht="68.80000305175781" customHeight="1">
      <x:c r="A58" s="7" t="str">
        <x:v>meti_fukushima_gi</x:v>
      </x:c>
      <x:c r="B58" s="7" t="str">
        <x:v>福島商用電動車・エネルギーマネジメント</x:v>
      </x:c>
      <x:c r="C58" s="7" t="str">
        <x:v>福島県</x:v>
      </x:c>
      <x:c r="D58" s="7" t="str">
        <x:v>研究開発・実証段階の進捗を確認</x:v>
      </x:c>
      <x:c r="E58" s="18" t="str">
        <x:v>2025-03</x:v>
      </x:c>
      <x:c r="F58" s="7" t="str">
        <x:v>経済産業省</x:v>
      </x:c>
      <x:c r="G58" s="7" t="str">
        <x:v>福島交通
CJPT・トヨタ等事業関係者</x:v>
      </x:c>
      <x:c r="H58" s="7" t="str">
        <x:v>2022–2026</x:v>
      </x:c>
      <x:c r="I58" s="7" t="str">
        <x:v>smartgi</x:v>
      </x:c>
      <x:c r="J58" s="7" t="str"/>
      <x:c r="K58" s="7" t="str">
        <x:v>商用車運行と電力管理を一体最適化</x:v>
      </x:c>
      <x:c r="L58" s="7" t="str">
        <x:v>2025事業戦略ビジョン更新</x:v>
      </x:c>
      <x:c r="M58" s="7" t="str">
        <x:v>利益成立条件・電力費/規制変化による中止条件を明文化</x:v>
      </x:c>
      <x:c r="N58" s="7" t="str">
        <x:v>ビジョンの将来利益を達成実績としない。地域全EV台数と基金導入台数は別</x:v>
      </x:c>
      <x:c r="O58" s="7" t="str">
        <x:v>地域別実証決算・CO2純削減費用未取得</x:v>
      </x:c>
      <x:c r="P58" s="7" t="str"/>
      <x:c r="Q58" s="7" t="str"/>
      <x:c r="R58" s="7" t="str">
        <x:v>meti_fukushima_gi</x:v>
      </x:c>
      <x:c r="S58" s="7" t="str">
        <x:v>S288
S010
S011
S294</x:v>
      </x:c>
      <x:c r="T58" s="7" t="str">
        <x:v>https://www.nedo.go.jp/content/100955752.pdf</x:v>
      </x:c>
      <x:c r="U58" s="7" t="str">
        <x:v>https://green-innovation.nedo.go.jp/project/smart-mobility-society/progress/
https://green-innovation.nedo.go.jp/resources/pdf/smart-mobility-society/item-002/vision-fukushima-koutu-003.pdf
https://www.nedo.go.jp/news/press/AA5_101560.html</x:v>
      </x:c>
      <x:c r="V58" s="7" t="str">
        <x:v>SRC-4217afd180
SRC-458513f969
SRC-c71fcdb9bd
SRC-d0ec6adda0</x:v>
      </x:c>
    </x:row>
    <x:row r="59" ht="40.400001525878906" customHeight="1">
      <x:c r="A59" s="7" t="str">
        <x:v>meti_fukushima_rtf</x:v>
      </x:c>
      <x:c r="B59" s="7" t="str">
        <x:v>福島RTFドローン運航管理</x:v>
      </x:c>
      <x:c r="C59" s="7" t="str">
        <x:v>福島県南相馬市等</x:v>
      </x:c>
      <x:c r="D59" s="7" t="str">
        <x:v>研究成果、一般商用交通とは別</x:v>
      </x:c>
      <x:c r="E59" s="18" t="str">
        <x:v>2023-01</x:v>
      </x:c>
      <x:c r="F59" s="7" t="str">
        <x:v>経済産業省</x:v>
      </x:c>
      <x:c r="G59" s="7" t="str">
        <x:v>NEDO
KDDI等</x:v>
      </x:c>
      <x:c r="H59" s="7" t="str">
        <x:v>2017–2023</x:v>
      </x:c>
      <x:c r="I59" s="7" t="str">
        <x:v>dress</x:v>
      </x:c>
      <x:c r="J59" s="7" t="str"/>
      <x:c r="K59" s="7" t="str">
        <x:v>複数機/複数事業者の運航管理と高密度試験</x:v>
      </x:c>
      <x:c r="L59" s="7" t="str">
        <x:v>2019/10高密度試験100フライト超/km²/時
2021/10/27全国13地域52機同時管理</x:v>
      </x:c>
      <x:c r="M59" s="7" t="str">
        <x:v>大規模運航管理の技術評価</x:v>
      </x:c>
      <x:c r="N59" s="7" t="str">
        <x:v>100フライト密度は試験条件。52機を52商用路線としない</x:v>
      </x:c>
      <x:c r="O59" s="7" t="str">
        <x:v>試験場/地域別配送原価未取得</x:v>
      </x:c>
      <x:c r="P59" s="7" t="str"/>
      <x:c r="Q59" s="7" t="str"/>
      <x:c r="R59" s="7" t="str">
        <x:v>meti_fukushima_rtf</x:v>
      </x:c>
      <x:c r="S59" s="7" t="str">
        <x:v>S291
S290</x:v>
      </x:c>
      <x:c r="T59" s="7" t="str">
        <x:v>https://www.nedo.go.jp/news/press/AA5_101385.html</x:v>
      </x:c>
      <x:c r="U59" s="7" t="str">
        <x:v>https://www.nedo.go.jp/media/practical-realization/202301kddi.html</x:v>
      </x:c>
      <x:c r="V59" s="7" t="str">
        <x:v>SRC-f1d7b73408
SRC-2a1c186ca3</x:v>
      </x:c>
    </x:row>
    <x:row r="60" ht="40.400001525878906" customHeight="1">
      <x:c r="A60" s="7" t="str">
        <x:v>meti_osaka_air</x:v>
      </x:c>
      <x:c r="B60" s="7" t="str">
        <x:v>大阪・関西万博の空域管理</x:v>
      </x:c>
      <x:c r="C60" s="7" t="str">
        <x:v>大阪府大阪市・万博会場周辺</x:v>
      </x:c>
      <x:c r="D60" s="7" t="str">
        <x:v>2025実環境PoC、2026報告</x:v>
      </x:c>
      <x:c r="E60" s="18" t="n">
        <x:v>46069</x:v>
      </x:c>
      <x:c r="F60" s="7" t="str">
        <x:v>経済産業省</x:v>
      </x:c>
      <x:c r="G60" s="7" t="str">
        <x:v>NEDO
JUIDA等ReAMo関係者</x:v>
      </x:c>
      <x:c r="H60" s="7" t="str">
        <x:v>2022–2026</x:v>
      </x:c>
      <x:c r="I60" s="7" t="str">
        <x:v>reamo</x:v>
      </x:c>
      <x:c r="J60" s="7" t="str"/>
      <x:c r="K60" s="7" t="str">
        <x:v>ドローンと空飛ぶクルマ等の運航調整</x:v>
      </x:c>
      <x:c r="L60" s="7" t="str">
        <x:v>2025/8/16 PoC、9月・10月にも各1回</x:v>
      </x:c>
      <x:c r="M60" s="7" t="str">
        <x:v>複数種航空機/ドローンの空域利用調整を検証</x:v>
      </x:c>
      <x:c r="N60" s="7" t="str">
        <x:v>PoCを有償旅客運航実装としない。航空機認証/運航/地上接続それぞれが条件</x:v>
      </x:c>
      <x:c r="O60" s="7" t="str">
        <x:v>商用旅客の運賃・旅客数・採算実績未取得</x:v>
      </x:c>
      <x:c r="P60" s="7" t="str"/>
      <x:c r="Q60" s="7" t="str"/>
      <x:c r="R60" s="7" t="str">
        <x:v>meti_osaka_air</x:v>
      </x:c>
      <x:c r="S60" s="7" t="str">
        <x:v>S286
S037</x:v>
      </x:c>
      <x:c r="T60" s="7" t="str">
        <x:v>https://www.nedo.go.jp/activities/ZZJP2_100181.html</x:v>
      </x:c>
      <x:c r="U60" s="7" t="str">
        <x:v>https://reamo.nedo.go.jp/library/2026/03/03_JUIDA_Slides_260216.pdf</x:v>
      </x:c>
      <x:c r="V60" s="7" t="str">
        <x:v>SRC-1b84e22863
SRC-fc67d3588c</x:v>
      </x:c>
    </x:row>
    <x:row r="61" ht="97.19999694824219" customHeight="1">
      <x:c r="A61" s="7" t="str">
        <x:v>meti_ina</x:v>
      </x:c>
      <x:c r="B61" s="7" t="str">
        <x:v>ゆうあいマーケット</x:v>
      </x:c>
      <x:c r="C61" s="7" t="str">
        <x:v>長野県伊那市</x:v>
      </x:c>
      <x:c r="D61" s="7" t="str">
        <x:v>ドローン配送はFY2024末終了、買物支援継続</x:v>
      </x:c>
      <x:c r="E61" s="18" t="n">
        <x:v>46326</x:v>
      </x:c>
      <x:c r="F61" s="7" t="str">
        <x:v>経済産業省</x:v>
      </x:c>
      <x:c r="G61" s="7" t="str">
        <x:v>伊那市
KDDI
地元配送関係者</x:v>
      </x:c>
      <x:c r="H61" s="7" t="str">
        <x:v>2018–2026</x:v>
      </x:c>
      <x:c r="I61" s="7" t="str">
        <x:v>dress</x:v>
      </x:c>
      <x:c r="J61" s="7" t="str"/>
      <x:c r="K61" s="7" t="str">
        <x:v>買物支援をケーブルTV/電話注文とドローン/地上配送で構成</x:v>
      </x:c>
      <x:c r="L61" s="7" t="str">
        <x:v>2020/8/5サービス開始
2021/11/16河川ルート10km超の商品配送</x:v>
      </x:c>
      <x:c r="M61" s="7" t="str">
        <x:v>技術要素を終了しても買物支援の目的サービスは存続</x:v>
      </x:c>
      <x:c r="N61" s="7" t="str">
        <x:v>ドローン終了の公式理由・費目別決算未取得。採算原因と断定しない
METI/NEDO単独資金による事例とは認定しない。物流接続の比較例</x:v>
      </x:c>
      <x:c r="O61" s="7" t="str">
        <x:v>FY2025買物支援運営委託予算10,941千円。全サービス分でドローン費/決算でない</x:v>
      </x:c>
      <x:c r="P61" s="7" t="str"/>
      <x:c r="Q61" s="7" t="str"/>
      <x:c r="R61" s="7" t="str">
        <x:v>meti_ina</x:v>
      </x:c>
      <x:c r="S61" s="7" t="str">
        <x:v>S180
S181
S183
S184</x:v>
      </x:c>
      <x:c r="T61" s="7" t="str">
        <x:v>https://www.inacity.jp/shisei/inashiseisakusesaku/shinsangyougijutu/dronekatuyou/174kija20210129.html</x:v>
      </x:c>
      <x:c r="U61" s="7" t="str">
        <x:v>https://www.inacity.jp/shisei/inashiseisakusesaku/shinsangyougijutu/dronekatuyou/174kija2021111716.html
https://www.inacity.jp/shisei/inashiseisakusesaku/shinsangyougijutu/yuuaimarket/index.html
https://www.inacity.jp/shisei/zaiseishiryoko/yosankankei/R7yosansho.files/R7_tosho_ippan.pdf</x:v>
      </x:c>
      <x:c r="V61" s="7" t="str">
        <x:v>SRC-61c177a334
SRC-8e7596ba84
SRC-c94d4689db
SRC-74f7454ed3</x:v>
      </x:c>
    </x:row>
    <x:row r="62" ht="83" customHeight="1">
      <x:c r="A62" s="7" t="str">
        <x:v>meti_goto</x:v>
      </x:c>
      <x:c r="B62" s="7" t="str">
        <x:v>五島列島の医薬品ドローン</x:v>
      </x:c>
      <x:c r="C62" s="7" t="str">
        <x:v>長崎県五島市・新上五島町等</x:v>
      </x:c>
      <x:c r="D62" s="7" t="str">
        <x:v>L3定期配送・低温品実装、L4は実証</x:v>
      </x:c>
      <x:c r="E62" s="18" t="n">
        <x:v>46326</x:v>
      </x:c>
      <x:c r="F62" s="7" t="str">
        <x:v>経済産業省</x:v>
      </x:c>
      <x:c r="G62" s="7" t="str">
        <x:v>そらいいな
豊田通商
医薬品卸4社
ACSL
県・自治体</x:v>
      </x:c>
      <x:c r="H62" s="7" t="str">
        <x:v>2022–2026</x:v>
      </x:c>
      <x:c r="I62" s="7" t="str">
        <x:v>dress
reamo</x:v>
      </x:c>
      <x:c r="J62" s="7" t="str"/>
      <x:c r="K62" s="7" t="str">
        <x:v>離島への定期医薬品配送、低温品とL4エリア飛行検証</x:v>
      </x:c>
      <x:c r="L62" s="7" t="str">
        <x:v>2022/5から固定翼L3配送
2026/1/19 2～8℃品の契約配送開始</x:v>
      </x:c>
      <x:c r="M62" s="7" t="str">
        <x:v>卸4社の契約に基づく実業務に接続</x:v>
      </x:c>
      <x:c r="N62" s="7" t="str">
        <x:v>L3の定期配送と2025/2026 L4実証を区別
主資金制度は各年で特区/離島等。NEDO単独成果としない</x:v>
      </x:c>
      <x:c r="O62" s="7" t="str">
        <x:v>補助後収支・1配送当たり原価・欠航代替費未取得</x:v>
      </x:c>
      <x:c r="P62" s="7" t="str"/>
      <x:c r="Q62" s="7" t="str"/>
      <x:c r="R62" s="7" t="str">
        <x:v>meti_goto</x:v>
      </x:c>
      <x:c r="S62" s="7" t="str">
        <x:v>S326
S049
S306
S048</x:v>
      </x:c>
      <x:c r="T62" s="7" t="str">
        <x:v>https://www.toyota-tsusho.com/english/press/detail/250210_006531.html</x:v>
      </x:c>
      <x:c r="U62" s="7" t="str">
        <x:v>https://sora-iina.com/news/press/20260119_514.html
https://www.pref.nagasaki.jp/governor/speak/20251126.html
https://sora-iina.com/</x:v>
      </x:c>
      <x:c r="V62" s="7" t="str">
        <x:v>SRC-097fc2e83c
SRC-8e3ccf6070
SRC-5f76068b50
SRC-7b22d6f8e2</x:v>
      </x:c>
    </x:row>
    <x:row r="63" ht="54.599998474121094" customHeight="1">
      <x:c r="A63" s="7" t="str">
        <x:v>meti_oita</x:v>
      </x:c>
      <x:c r="B63" s="7" t="str">
        <x:v>大分MaaS・九州MaaSへの接続</x:v>
      </x:c>
      <x:c r="C63" s="7" t="str">
        <x:v>大分県大分市・別府市等</x:v>
      </x:c>
      <x:c r="D63" s="7" t="str">
        <x:v>販売・利用方式更新を確認</x:v>
      </x:c>
      <x:c r="E63" s="18" t="n">
        <x:v>45954</x:v>
      </x:c>
      <x:c r="F63" s="7" t="str">
        <x:v>経済産業省</x:v>
      </x:c>
      <x:c r="G63" s="7" t="str">
        <x:v>第一交通産業
JR九州
九州MaaS関係者</x:v>
      </x:c>
      <x:c r="H63" s="7" t="str">
        <x:v>2024–2025確認</x:v>
      </x:c>
      <x:c r="I63" s="7" t="str">
        <x:v>smc</x:v>
      </x:c>
      <x:c r="J63" s="7" t="str"/>
      <x:c r="K63" s="7" t="str">
        <x:v>my routeチケット・タクシー連携と空港接続</x:v>
      </x:c>
      <x:c r="L63" s="7" t="str">
        <x:v>九州MaaS2024/8開始
2025/10/26大分・別府～北九州空港きっぷQR改札対応</x:v>
      </x:c>
      <x:c r="M63" s="7" t="str">
        <x:v>既存交通チケットと予約の接続が実際の商品に</x:v>
      </x:c>
      <x:c r="N63" s="7" t="str">
        <x:v>ホーバークラフト乗船券連携は2025/6資料では将来計画
経産省掲載事業者資料であることと当該サービス補助採択は別</x:v>
      </x:c>
      <x:c r="O63" s="7" t="str">
        <x:v>大分別利用件数・手数料・純増収未取得</x:v>
      </x:c>
      <x:c r="P63" s="7" t="str"/>
      <x:c r="Q63" s="7" t="str"/>
      <x:c r="R63" s="7" t="str">
        <x:v>meti_oita</x:v>
      </x:c>
      <x:c r="S63" s="7" t="str">
        <x:v>S198
S185</x:v>
      </x:c>
      <x:c r="T63" s="7" t="str">
        <x:v>https://www.kyushu.meti.go.jp/seisaku/chuken/oshirase/250605_1_3.pdf</x:v>
      </x:c>
      <x:c r="U63" s="7" t="str">
        <x:v>https://www.jrkyushu.co.jp/common/inc/news/newtopics/__icsFiles/afieldfile/2025/10/23/20251024_my_route_ticket_kitakyushu_Changes_to_usage_methods.pdf</x:v>
      </x:c>
      <x:c r="V63" s="7" t="str">
        <x:v>SRC-0d038964d4
SRC-d58b271b04</x:v>
      </x:c>
    </x:row>
    <x:row r="64" ht="111.4000015258789" customHeight="1">
      <x:c r="A64" s="7" t="str">
        <x:v>ENV-C01</x:v>
      </x:c>
      <x:c r="B64" s="7" t="str">
        <x:v>南花台クルクル</x:v>
      </x:c>
      <x:c r="C64" s="7" t="str">
        <x:v>大阪府河内長野市</x:v>
      </x:c>
      <x:c r="D64" s="7" t="str">
        <x:v>環境省実証後も市の有償試行運行を継続；AI配車は停止</x:v>
      </x:c>
      <x:c r="E64" s="18" t="str">
        <x:v>2025-01-29および2024年度実績</x:v>
      </x:c>
      <x:c r="F64" s="7" t="str">
        <x:v>環境省</x:v>
      </x:c>
      <x:c r="G64" s="7" t="str">
        <x:v>河内長野市
南花台住民
社会福祉協議会
関西大学
コノミヤ
NTTドコモ等</x:v>
      </x:c>
      <x:c r="H64" s="7" t="str">
        <x:v>2019～2025年確認</x:v>
      </x:c>
      <x:c r="I64" s="7" t="str">
        <x:v>ENV-P02</x:v>
      </x:c>
      <x:c r="J64" s="7" t="str"/>
      <x:c r="K64" s="7" t="str">
        <x:v>地域住民運営の低速電動車、需要型・定時型・レベル2自動走行の比較と継続</x:v>
      </x:c>
      <x:c r="L64" s="7" t="str">
        <x:v>当初7人乗り2台、乗降点342か所
2024年度需要型2827人、住民会議12回</x:v>
      </x:c>
      <x:c r="M64" s="7" t="str">
        <x:v>2024年度の利用と地域運営継続は確認。免許返納意向や満足を実際の返納・自家用車代替とは扱わない。</x:v>
      </x:c>
      <x:c r="N64" s="7" t="str">
        <x:v>2023年度需要型利用は資料間2242人/2067人で不一致；比較系列は作らない。
2024年会議資料では市の有償実証期間延長を提案。国実証終了後の運行継続を恒久的な本格運行への移行とは断定しない。
固定運行・自動運行・需要型の利用区分、回数/実人数の違いに注意。
2020/2021調査では私有車からの代替を確認できず、コロナ影響もある。</x:v>
      </x:c>
      <x:c r="O64" s="7" t="str">
        <x:v>2024年度 年間運行費見込（円）: 460000
2024年度 年間運賃収入見込（円）: 240000
資料記載の回収率（%）: 52.2
別枠の市車両・自動運転予算（円）: 1420000
2024年度 チケット売上（円）: 302700
集計範囲: 52.2%は一部運行経費のみ。別建て車両・保険・誘導線、無償労働等を含む全費用回収率ではない。</x:v>
      </x:c>
      <x:c r="P64" s="7" t="str">
        <x:v>高齢者の対面・電話・紙券に対応。呼び出しへの遠慮、停留点まで歩けない人、幹線道路の駅アクセスは残る。</x:v>
      </x:c>
      <x:c r="Q64" s="7" t="str">
        <x:v>走行電力比較だけでは代替交通の変化を反映しない。総CO2削減量は本章で採用せず。</x:v>
      </x:c>
      <x:c r="R64" s="7" t="str">
        <x:v>ENV-C01</x:v>
      </x:c>
      <x:c r="S64" s="7" t="str">
        <x:v>S073
S074
S076
S077
S078
S075
S072</x:v>
      </x:c>
      <x:c r="T64" s="7" t="str">
        <x:v>https://www.city.kawachinagano.lg.jp/soshiki/2/34689.html</x:v>
      </x:c>
      <x:c r="U64" s="7" t="str">
        <x:v>https://www.city.kawachinagano.lg.jp/soshiki/2/86194.html
https://www.city.kawachinagano.lg.jp/uploaded/attachment/37054.pdf
https://www.city.kawachinagano.lg.jp/uploaded/attachment/43648.pdf
https://www.city.kawachinagano.lg.jp/uploaded/attachment/44006.pdf
https://www.city.kawachinagano.lg.jp/uploaded/attachment/28288.pdf
https://www.city.kawachinagano.lg.jp/soshiki/2/106773.html</x:v>
      </x:c>
      <x:c r="V64" s="7" t="str">
        <x:v>SRC-8055476fc0
SRC-7c332e66bc
SRC-afb7396463
SRC-ef928050fb
SRC-a5bcf01cc7
SRC-f860ec03b5
SRC-ef2ccc06a7</x:v>
      </x:c>
    </x:row>
    <x:row r="65" ht="68.80000305175781" customHeight="1">
      <x:c r="A65" s="7" t="str">
        <x:v>ENV-C02</x:v>
      </x:c>
      <x:c r="B65" s="7" t="str">
        <x:v>いわき・トイボ</x:v>
      </x:c>
      <x:c r="C65" s="7" t="str">
        <x:v>福島県いわき市</x:v>
      </x:c>
      <x:c r="D65" s="7" t="str">
        <x:v>実証実施、2026継続は未確認</x:v>
      </x:c>
      <x:c r="E65" s="18" t="str">
        <x:v>2021年度</x:v>
      </x:c>
      <x:c r="F65" s="7" t="str">
        <x:v>環境省</x:v>
      </x:c>
      <x:c r="G65" s="7" t="str">
        <x:v>いわき市
平まちづくり
報徳バス
ソフトバンク等</x:v>
      </x:c>
      <x:c r="H65" s="7" t="str">
        <x:v>2019～2021年度</x:v>
      </x:c>
      <x:c r="I65" s="7" t="str">
        <x:v>ENV-P02</x:v>
      </x:c>
      <x:c r="J65" s="7" t="str"/>
      <x:c r="K65" s="7" t="str">
        <x:v>小名浜・平中心部の低速EVと予約配車・商店連携</x:v>
      </x:c>
      <x:c r="L65" s="7" t="str">
        <x:v>小名浜2019年11月～2020年3月実証；平地区2020年に有料・無料を比較</x:v>
      </x:c>
      <x:c r="M65" s="7" t="str">
        <x:v>平地区の無料35.1人/日・有料25.3人/日は時期差を含み、運賃だけの効果ではない。</x:v>
      </x:c>
      <x:c r="N65" s="7" t="str">
        <x:v>小名浜と平の路線・期間を混合しない。
利用と商店施策への参加は購買増や地域経済の純増と同一でない。</x:v>
      </x:c>
      <x:c r="O65" s="7" t="str">
        <x:v>総費用: 未確認</x:v>
      </x:c>
      <x:c r="P65" s="7" t="str">
        <x:v>観光と住民移動の目的を分ける。</x:v>
      </x:c>
      <x:c r="Q65" s="7" t="str">
        <x:v>未確認</x:v>
      </x:c>
      <x:c r="R65" s="7" t="str">
        <x:v>ENV-C02</x:v>
      </x:c>
      <x:c r="S65" s="7" t="str">
        <x:v>S316
S146</x:v>
      </x:c>
      <x:c r="T65" s="7" t="str">
        <x:v>https://www.softbank.jp/corp/news/press/sbkk/2019/20191119_01/</x:v>
      </x:c>
      <x:c r="U65" s="7" t="str">
        <x:v>https://www.env.go.jp/content/000126068.pdf</x:v>
      </x:c>
      <x:c r="V65" s="7" t="str">
        <x:v>SRC-ecd3d8505b
SRC-34d5e30cc6</x:v>
      </x:c>
    </x:row>
    <x:row r="66" ht="68.80000305175781" customHeight="1">
      <x:c r="A66" s="7" t="str">
        <x:v>ENV-C03</x:v>
      </x:c>
      <x:c r="B66" s="7" t="str">
        <x:v>瀬戸田グリーンスローモビリティ</x:v>
      </x:c>
      <x:c r="C66" s="7" t="str">
        <x:v>広島県尾道市瀬戸田</x:v>
      </x:c>
      <x:c r="D66" s="7" t="str">
        <x:v>実証実施、最新継続未確認</x:v>
      </x:c>
      <x:c r="E66" s="18" t="str">
        <x:v>2021年秋</x:v>
      </x:c>
      <x:c r="F66" s="7" t="str">
        <x:v>環境省</x:v>
      </x:c>
      <x:c r="G66" s="7" t="str">
        <x:v>尾道市
本四バス開発
JR西日本
せとうちDMO等</x:v>
      </x:c>
      <x:c r="H66" s="7" t="str">
        <x:v>2020～2021年確認</x:v>
      </x:c>
      <x:c r="I66" s="7" t="str">
        <x:v>ENV-P02</x:v>
      </x:c>
      <x:c r="J66" s="7" t="str"/>
      <x:c r="K66" s="7" t="str">
        <x:v>低速EVと地域観光・再エネメニューを組み合わせた実証</x:v>
      </x:c>
      <x:c r="L66" s="7" t="str">
        <x:v>2020年夏季、2021年秋に実証</x:v>
      </x:c>
      <x:c r="M66" s="7" t="str">
        <x:v>回遊や脱炭素を目指すが追加的CO2削減・商業売上増の検証値は採用しない。</x:v>
      </x:c>
      <x:c r="N66" s="7" t="str">
        <x:v>全国事例集の開始日と地元発表が不一致。地元の2020年7月4日を優先。
事例集の日平均35.1/25.3人等がいわきと同じで転記疑い。尾道値として引用しない。</x:v>
      </x:c>
      <x:c r="O66" s="7" t="str">
        <x:v>総費用: 未確認</x:v>
      </x:c>
      <x:c r="P66" s="7" t="str">
        <x:v>観光客向けと日常生活利用を混同しない。</x:v>
      </x:c>
      <x:c r="Q66" s="7" t="str">
        <x:v>電力メニューの実質再エネ100%表現は市場ベース。地元発電の物理供給・車両LCAゼロを意味しない。</x:v>
      </x:c>
      <x:c r="R66" s="7" t="str">
        <x:v>ENV-C03</x:v>
      </x:c>
      <x:c r="S66" s="7" t="str">
        <x:v>S038
S100
S146</x:v>
      </x:c>
      <x:c r="T66" s="7" t="str">
        <x:v>https://setouchitourism.or.jp/ja/info/setoda_mobility_press/</x:v>
      </x:c>
      <x:c r="U66" s="7" t="str">
        <x:v>https://www.city.onomichi.hiroshima.jp/uploaded/attachment/31064.pdf
https://www.env.go.jp/content/000126068.pdf</x:v>
      </x:c>
      <x:c r="V66" s="7" t="str">
        <x:v>SRC-f118c3256d
SRC-205c7e7740
SRC-34d5e30cc6</x:v>
      </x:c>
    </x:row>
    <x:row r="67" ht="68.80000305175781" customHeight="1">
      <x:c r="A67" s="7" t="str">
        <x:v>ENV-C04</x:v>
      </x:c>
      <x:c r="B67" s="7" t="str">
        <x:v>石見銀山ぎんざんカート</x:v>
      </x:c>
      <x:c r="C67" s="7" t="str">
        <x:v>島根県大田市</x:v>
      </x:c>
      <x:c r="D67" s="7" t="str">
        <x:v>有償運行継続、2026年に運行形態再実験</x:v>
      </x:c>
      <x:c r="E67" s="18" t="str">
        <x:v>2026-09-30告知／2026-10-01開始</x:v>
      </x:c>
      <x:c r="F67" s="7" t="str">
        <x:v>環境省</x:v>
      </x:c>
      <x:c r="G67" s="7" t="str">
        <x:v>大田市
レンタサイクル河村
バイタルリード
石見交通</x:v>
      </x:c>
      <x:c r="H67" s="7" t="str">
        <x:v>2019～2026年確認</x:v>
      </x:c>
      <x:c r="I67" s="7" t="str">
        <x:v>ENV-P02</x:v>
      </x:c>
      <x:c r="J67" s="7" t="str"/>
      <x:c r="K67" s="7" t="str">
        <x:v>歴史地区の歩行環境と移動支援を両立する電動小型交通</x:v>
      </x:c>
      <x:c r="L67" s="7" t="str">
        <x:v>2021年4月有償運行化
2026年10～11月土日祝14→19往復、その他日は予約便等の試験運行</x:v>
      </x:c>
      <x:c r="M67" s="7" t="str">
        <x:v>継続とサービス改善は確認。ただし利用増やCO2削減の年次実測値は未確認。</x:v>
      </x:c>
      <x:c r="N67" s="7" t="str">
        <x:v>最新の増便は期間限定試験で、通年全日増便としない。
満足度を徒歩代替・健康影響・財務自立の証明にしない。</x:v>
      </x:c>
      <x:c r="O67" s="7" t="str">
        <x:v>総費用: 未確認</x:v>
      </x:c>
      <x:c r="P67" s="7" t="str">
        <x:v>歩行の難しい来訪者のアクセスと文化財地区の静穏性。ただし観光と住民利用の配分は要検証。</x:v>
      </x:c>
      <x:c r="Q67" s="7" t="str">
        <x:v>未確認</x:v>
      </x:c>
      <x:c r="R67" s="7" t="str">
        <x:v>ENV-C04</x:v>
      </x:c>
      <x:c r="S67" s="7" t="str">
        <x:v>S095
S009
S146</x:v>
      </x:c>
      <x:c r="T67" s="7" t="str">
        <x:v>https://www.city.oda.lg.jp/files/original/2021042211214575288dbeee7.pdf</x:v>
      </x:c>
      <x:c r="U67" s="7" t="str">
        <x:v>https://gc.iwamiginzan.jp/ja
https://www.env.go.jp/content/000126068.pdf</x:v>
      </x:c>
      <x:c r="V67" s="7" t="str">
        <x:v>SRC-4f1e2a8991
SRC-26242a4423
SRC-34d5e30cc6</x:v>
      </x:c>
    </x:row>
    <x:row r="68" ht="83" customHeight="1">
      <x:c r="A68" s="7" t="str">
        <x:v>ENV-C05</x:v>
      </x:c>
      <x:c r="B68" s="7" t="str">
        <x:v>コトコト感幸バス</x:v>
      </x:c>
      <x:c r="C68" s="7" t="str">
        <x:v>香川県琴平町</x:v>
      </x:c>
      <x:c r="D68" s="7" t="str">
        <x:v>終了</x:v>
      </x:c>
      <x:c r="E68" s="18" t="n">
        <x:v>44558</x:v>
      </x:c>
      <x:c r="F68" s="7" t="str">
        <x:v>環境省</x:v>
      </x:c>
      <x:c r="G68" s="7" t="str">
        <x:v>琴平町
デンソー
バイタルリード
バス事業者
シルバー人材センター</x:v>
      </x:c>
      <x:c r="H68" s="7" t="str">
        <x:v>2019～2021年</x:v>
      </x:c>
      <x:c r="I68" s="7" t="str">
        <x:v>ENV-P02</x:v>
      </x:c>
      <x:c r="J68" s="7" t="str"/>
      <x:c r="K68" s="7" t="str">
        <x:v>住民用と観光用ルートの小型電動バス</x:v>
      </x:c>
      <x:c r="L68" s="7" t="str">
        <x:v>2019年4月無料実証
2020～2021年住民・観光ルート実証、2021年に住民ルート見直し</x:v>
      </x:c>
      <x:c r="M68" s="7" t="str">
        <x:v>住民需要の低さを受け経路を調整したが恒常運行への移行は本調査で確認できず。</x:v>
      </x:c>
      <x:c r="N68" s="7" t="str">
        <x:v>国実証の終了と地域全交通施策の失敗は同義ではない。
観光需要を住民の移動課題解決数に加算しない。</x:v>
      </x:c>
      <x:c r="O68" s="7" t="str">
        <x:v>総費用: 未確認</x:v>
      </x:c>
      <x:c r="P68" s="7" t="str">
        <x:v>住民の声を踏まえ別の公共交通を検討すると町は説明。終了を隠さない。</x:v>
      </x:c>
      <x:c r="Q68" s="7" t="str">
        <x:v>未確認</x:v>
      </x:c>
      <x:c r="R68" s="7" t="str">
        <x:v>ENV-C05</x:v>
      </x:c>
      <x:c r="S68" s="7" t="str">
        <x:v>S325
S324
S146</x:v>
      </x:c>
      <x:c r="T68" s="7" t="str">
        <x:v>https://www.town.kotohira.kagawa.jp/uploaded/attachment/2637.pdf</x:v>
      </x:c>
      <x:c r="U68" s="7" t="str">
        <x:v>https://www.town.kotohira.kagawa.jp/soshiki/0/7138.html
https://www.env.go.jp/content/000126068.pdf</x:v>
      </x:c>
      <x:c r="V68" s="7" t="str">
        <x:v>SRC-267f5d2149
SRC-05486448f8
SRC-34d5e30cc6</x:v>
      </x:c>
    </x:row>
    <x:row r="69" ht="68.80000305175781" customHeight="1">
      <x:c r="A69" s="7" t="str">
        <x:v>ENV-C06</x:v>
      </x:c>
      <x:c r="B69" s="7" t="str">
        <x:v>由布院ノルク</x:v>
      </x:c>
      <x:c r="C69" s="7" t="str">
        <x:v>大分県由布市</x:v>
      </x:c>
      <x:c r="D69" s="7" t="str">
        <x:v>見直し継続評価、収支・住民利用課題</x:v>
      </x:c>
      <x:c r="E69" s="18" t="str">
        <x:v>2024-10公表の2023年度評価</x:v>
      </x:c>
      <x:c r="F69" s="7" t="str">
        <x:v>環境省</x:v>
      </x:c>
      <x:c r="G69" s="7" t="str">
        <x:v>由布市
第一交通
みなとタクシー等</x:v>
      </x:c>
      <x:c r="H69" s="7" t="str">
        <x:v>2020～2024年確認</x:v>
      </x:c>
      <x:c r="I69" s="7" t="str">
        <x:v>ENV-P02</x:v>
      </x:c>
      <x:c r="J69" s="7" t="str"/>
      <x:c r="K69" s="7" t="str">
        <x:v>低速EVの需要型運行から観光・パークアンドライドとの接続へ</x:v>
      </x:c>
      <x:c r="L69" s="7" t="str">
        <x:v>2020年導入
2023年議会で2019～2021年度実証期の住民利用約1割と説明</x:v>
      </x:c>
      <x:c r="M69" s="7" t="str">
        <x:v>FY2023事務事業評価はB「見直して事業実施」。観光・渋滞緩和の効用を認めつつ住民に使いやすい形と収支改善が課題。</x:v>
      </x:c>
      <x:c r="N69" s="7" t="str">
        <x:v>2022年度以降の観光/P&amp;R重点化と初期の日常移動目的を区別。
2026年度運行と最新利用数は未確認。</x:v>
      </x:c>
      <x:c r="O69" s="7" t="str">
        <x:v>車両購入予算案（円）: 669000
予算案の日付: 2023-12-07
集計範囲: 従来無償貸与車の買受予算案。落札・支払済み額と断定しない。
運営収支: 市は経費が収入を大幅に上回ると説明；金額系列未確認</x:v>
      </x:c>
      <x:c r="P69" s="7" t="str">
        <x:v>観光の効用があっても住民、とくに車を運転できない層の便益は別測定。</x:v>
      </x:c>
      <x:c r="Q69" s="7" t="str">
        <x:v>未確認</x:v>
      </x:c>
      <x:c r="R69" s="7" t="str">
        <x:v>ENV-C06</x:v>
      </x:c>
      <x:c r="S69" s="7" t="str">
        <x:v>S124
S125
S126
S146</x:v>
      </x:c>
      <x:c r="T69" s="7" t="str">
        <x:v>https://www.city.yufu.oita.jp/newly/nolk-2</x:v>
      </x:c>
      <x:c r="U69" s="7" t="str">
        <x:v>https://www.city.yufu.oita.jp/uploads/files/2024/02/r5-12-7dai4kaiteireikaikaigiroku.pdf
https://www.city.yufu.oita.jp/uploads/files/2024/10/r5zimuzigyouhyoukasyo.pdf
https://www.env.go.jp/content/000126068.pdf</x:v>
      </x:c>
      <x:c r="V69" s="7" t="str">
        <x:v>SRC-e3d9f28a4b
SRC-052b9b1fa9
SRC-e03de77c7c
SRC-34d5e30cc6</x:v>
      </x:c>
    </x:row>
    <x:row r="70" ht="97.19999694824219" customHeight="1">
      <x:c r="A70" s="7" t="str">
        <x:v>ENV-C07</x:v>
      </x:c>
      <x:c r="B70" s="7" t="str">
        <x:v>地域再エネEVシェア eemo・公用利用</x:v>
      </x:c>
      <x:c r="C70" s="7" t="str">
        <x:v>神奈川県小田原市</x:v>
      </x:c>
      <x:c r="D70" s="7" t="str">
        <x:v>運用実績あり</x:v>
      </x:c>
      <x:c r="E70" s="18" t="str">
        <x:v>2026-03公表の2024年度実績</x:v>
      </x:c>
      <x:c r="F70" s="7" t="str">
        <x:v>環境省</x:v>
      </x:c>
      <x:c r="G70" s="7" t="str">
        <x:v>小田原市
REXEV
湘南電力等</x:v>
      </x:c>
      <x:c r="H70" s="7" t="str">
        <x:v>2020～2024年度実績確認</x:v>
      </x:c>
      <x:c r="I70" s="7" t="str"/>
      <x:c r="J70" s="7" t="str">
        <x:v>ENV-P03／ENV-P04／ENV-P05</x:v>
      </x:c>
      <x:c r="K70" s="7" t="str">
        <x:v>地域電力・EVカーシェア・公用利用・需給調整を統合</x:v>
      </x:c>
      <x:c r="L70" s="7" t="str">
        <x:v>FY2023 EV5台導入、職員102アカウント追加、公用39646km
FY2024 EV5台追加、職員38名新規登録、公用63624km。公用EV累計18台の報告。</x:v>
      </x:c>
      <x:c r="M70" s="7" t="str">
        <x:v>公用EVの運用排出削減推計はFY2023 4.3t（39646km）→FY2024 6.6t（63624km）。走行量と車両数の増加を含み、1台当たり効率改善やeemo全体の成果ではない。</x:v>
      </x:c>
      <x:c r="N70" s="7" t="str">
        <x:v>一部ステーションへの再エネ供給を全充電100%と拡張しない。
交通弱者の利用・スマホ決済制約、低所得層への便益は未評価。
2026年公表年次報告の表紙に「案」が残る。市の公開年次報告として扱い、外部監査済値としない。環境審議会は「代替可能な公用車」の母数精査不足を指摘。</x:v>
      </x:c>
      <x:c r="O70" s="7" t="str">
        <x:v>総事業費・総保有費用: 未確認</x:v>
      </x:c>
      <x:c r="P70" s="7" t="str">
        <x:v>公用車の遊休時間共有と地域エネルギー循環。公的支援便益の帰着を確認する必要。</x:v>
      </x:c>
      <x:c r="Q70" s="7" t="str">
        <x:v>走行距離×電費×電力排出係数とガソリン車比較。運用段階の推計、車両/電池製造LCAを含まない。</x:v>
      </x:c>
      <x:c r="R70" s="7" t="str">
        <x:v>ENV-C07</x:v>
      </x:c>
      <x:c r="S70" s="7" t="str">
        <x:v>S096
S144
S098
S099
S097</x:v>
      </x:c>
      <x:c r="T70" s="7" t="str">
        <x:v>https://www.city.odawara.kanagawa.jp/field/envi/energy/electric_vehicle/ki-20200148.html</x:v>
      </x:c>
      <x:c r="U70" s="7" t="str">
        <x:v>https://www.env.go.jp/annai/kaiken/r2/0626.html
https://www.city.odawara.kanagawa.jp/global-image/units/720789/1-20260305105907_b69a8e36bc156c.pdf
https://www.city.odawara.kanagawa.jp/public/detail.php?id=11235
https://www.city.odawara.kanagawa.jp/global-image/units/670149/1-20260305105128_b69a8e1a0d28d1.pdf</x:v>
      </x:c>
      <x:c r="V70" s="7" t="str">
        <x:v>SRC-3f73b78582
SRC-85eede1bce
SRC-9540ddcf59
SRC-d77ac5f76b
SRC-602cc6f972</x:v>
      </x:c>
    </x:row>
    <x:row r="71" ht="97.19999694824219" customHeight="1">
      <x:c r="A71" s="7" t="str">
        <x:v>ENV-C08</x:v>
      </x:c>
      <x:c r="B71" s="7" t="str">
        <x:v>NIKKO MaaS</x:v>
      </x:c>
      <x:c r="C71" s="7" t="str">
        <x:v>栃木県日光市</x:v>
      </x:c>
      <x:c r="D71" s="7" t="str">
        <x:v>サービス実装、EVステーション掲載あり</x:v>
      </x:c>
      <x:c r="E71" s="18" t="str">
        <x:v>2026-10-31閲覧</x:v>
      </x:c>
      <x:c r="F71" s="7" t="str">
        <x:v>環境省</x:v>
      </x:c>
      <x:c r="G71" s="7" t="str">
        <x:v>東武鉄道
JTB
栃木県
オリックス自動車
トヨタレンタリース栃木
JTBコミュニケーションデザイン</x:v>
      </x:c>
      <x:c r="H71" s="7" t="str">
        <x:v>2021～2026年確認</x:v>
      </x:c>
      <x:c r="I71" s="7" t="str">
        <x:v>ENV-P03</x:v>
      </x:c>
      <x:c r="J71" s="7" t="str"/>
      <x:c r="K71" s="7" t="str">
        <x:v>鉄道デジタルチケット・観光サービス・EVシェア・充電を統合</x:v>
      </x:c>
      <x:c r="L71" s="7" t="str">
        <x:v>2021年10月28日サービス開始
東武日光駅のオリックス車両リーフ2台表示（閲覧時）</x:v>
      </x:c>
      <x:c r="M71" s="7" t="str">
        <x:v>環境省地方事例集は2022年10月までの累積589.30tCO2削減を記載。ただし算式・集計対象不明のためEV共有単独成果としない。</x:v>
      </x:c>
      <x:c r="N71" s="7" t="str">
        <x:v>MaaS、鉄道の電力再エネ化、観光需要回復、EVの個別効果を分離できない。
ステーション表示は当日の予約空きや全事業者の拠点数を意味しない。</x:v>
      </x:c>
      <x:c r="O71" s="7" t="str">
        <x:v>総費用: 未確認</x:v>
      </x:c>
      <x:c r="P71" s="7" t="str">
        <x:v>観光回遊と混雑緩和。来訪者と住民、デジタル利用可能者とそれ以外の便益差は不明。</x:v>
      </x:c>
      <x:c r="Q71" s="7" t="str">
        <x:v>鉄道の再エネは市場ベース電力属性。589.30tのベースライン・重複・算定境界未確認、LCAと扱わない。</x:v>
      </x:c>
      <x:c r="R71" s="7" t="str">
        <x:v>ENV-C08</x:v>
      </x:c>
      <x:c r="S71" s="7" t="str">
        <x:v>S163
S300
S051
S317
S050</x:v>
      </x:c>
      <x:c r="T71" s="7" t="str">
        <x:v>https://www.env.go.jp/press/109781.html</x:v>
      </x:c>
      <x:c r="U71" s="7" t="str">
        <x:v>https://www.orix.co.jp/grp/company/newsroom/newsrelease/210930_ORIXG2.html
https://tohoku.env.go.jp/content/000220128.pdf
https://www.tobu.co.jp/cms-pdf/releases/20220316114025nA56U6Qt2NKv0N7Br2sJLQ.pdf
https://station.orix-carshare.com/orix-carshare/spot/detail?code=st02701</x:v>
      </x:c>
      <x:c r="V71" s="7" t="str">
        <x:v>SRC-5c578ad767
SRC-bf422afeb0
SRC-053d2c3113
SRC-b2232578e6
SRC-75fc3a52d4</x:v>
      </x:c>
    </x:row>
    <x:row r="72" ht="83" customHeight="1">
      <x:c r="A72" s="7" t="str">
        <x:v>ENV-C09</x:v>
      </x:c>
      <x:c r="B72" s="7" t="str">
        <x:v>電池交換式EVごみ収集車</x:v>
      </x:c>
      <x:c r="C72" s="7" t="str">
        <x:v>埼玉県さいたま市</x:v>
      </x:c>
      <x:c r="D72" s="7" t="str">
        <x:v>実証継続、未商用化</x:v>
      </x:c>
      <x:c r="E72" s="18" t="str">
        <x:v>2026-06</x:v>
      </x:c>
      <x:c r="F72" s="7" t="str">
        <x:v>環境省</x:v>
      </x:c>
      <x:c r="G72" s="7" t="str">
        <x:v>さいたま市
JFEエンジニアリング</x:v>
      </x:c>
      <x:c r="H72" s="7" t="str">
        <x:v>2024～2026年度実証</x:v>
      </x:c>
      <x:c r="I72" s="7" t="str"/>
      <x:c r="J72" s="7" t="str">
        <x:v>環境省先行事例集掲載／個別補助帰属未確認</x:v>
      </x:c>
      <x:c r="K72" s="7" t="str">
        <x:v>ごみ発電電力と交換電池を使い充電待ちを短縮</x:v>
      </x:c>
      <x:c r="L72" s="7" t="str">
        <x:v>2024年4月から2台、緑区・見沼区で稼働
交換時間58秒を市が紹介</x:v>
      </x:c>
      <x:c r="M72" s="7" t="str">
        <x:v>廃棄物由来電力と稼働効率の統合は確認。2026年市要望では開発・量産化と運用費支援がなお必要。</x:v>
      </x:c>
      <x:c r="N72" s="7" t="str">
        <x:v>実証2台を商用普及・黒字化としない。
焼却ごみの化石由来分や電力環境価値の配分、余剰電力の代替用途を要確認。</x:v>
      </x:c>
      <x:c r="O72" s="7" t="str">
        <x:v>車両・設備: 実証機材貸与
総費用: 資料では未記載。自治体支出が少ないことを全体費用ゼロとしない。</x:v>
      </x:c>
      <x:c r="P72" s="7" t="str">
        <x:v>静穏・排気改善、収集サービス維持は便益候補。住民・作業員への実測影響は未確認。</x:v>
      </x:c>
      <x:c r="Q72" s="7" t="str">
        <x:v>「実質CO2ゼロ」は電力会計上の説明で車体・電池製造LCAゼロではない。</x:v>
      </x:c>
      <x:c r="R72" s="7" t="str">
        <x:v>ENV-C09</x:v>
      </x:c>
      <x:c r="S72" s="7" t="str">
        <x:v>S105
S104
S103
S106
S024</x:v>
      </x:c>
      <x:c r="T72" s="7" t="str">
        <x:v>https://www.city.saitama.lg.jp/006/014/008/003/012/011/p112653.html</x:v>
      </x:c>
      <x:c r="U72" s="7" t="str">
        <x:v>https://www.city.saitama.lg.jp/001/009/015/e-kizuna/kyoutei/p097814.html
https://www.city.saitama.lg.jp/001/009/015/010/004/p116572_d/fil/E-decokatsu_News_2.pdf
https://www.city.saitama.lg.jp/006/014/008/003/015/003/p131508_d/fil/r9zenkiyoubou.pdf
https://policies.env.go.jp/policy/roadmap/assets/examples/chiiki-datsutanso-senkou-jirei.pdf</x:v>
      </x:c>
      <x:c r="V72" s="7" t="str">
        <x:v>SRC-6a6efd6b68
SRC-449663c5ee
SRC-3005cf57c0
SRC-1b1c8e79eb
SRC-469871fe16</x:v>
      </x:c>
    </x:row>
    <x:row r="73" ht="97.19999694824219" customHeight="1">
      <x:c r="A73" s="7" t="str">
        <x:v>ENV-C10</x:v>
      </x:c>
      <x:c r="B73" s="7" t="str">
        <x:v>山間地域EVスクールバス・学校太陽光連携</x:v>
      </x:c>
      <x:c r="C73" s="7" t="str">
        <x:v>熊本県球磨村</x:v>
      </x:c>
      <x:c r="D73" s="7" t="str">
        <x:v>実証終了・拡張試算公表</x:v>
      </x:c>
      <x:c r="E73" s="18" t="str">
        <x:v>2024年成果資料</x:v>
      </x:c>
      <x:c r="F73" s="7" t="str">
        <x:v>環境省</x:v>
      </x:c>
      <x:c r="G73" s="7" t="str">
        <x:v>熊本大学
熊本県
球磨村
EVモーターズ・ジャパン等</x:v>
      </x:c>
      <x:c r="H73" s="7" t="str">
        <x:v>2021～2023年度</x:v>
      </x:c>
      <x:c r="I73" s="7" t="str"/>
      <x:c r="J73" s="7" t="str">
        <x:v>環境省 中山間地域における電動マイクロバス評価検証委託</x:v>
      </x:c>
      <x:c r="K73" s="7" t="str">
        <x:v>17人乗りEVバス1台で山間通学路を実証しPV/V2Gをモデル評価</x:v>
      </x:c>
      <x:c r="L73" s="7" t="str">
        <x:v>17人乗り、114kWh車両、2022年1月開始
神瀬方面24～30km、1日3運行の条件</x:v>
      </x:c>
      <x:c r="M73" s="7" t="str">
        <x:v>学校＋9台バスのシナリオで基準118tCO2→EV87t→EV+60kW太陽光66tを試算。9台全車の導入実績ではない。</x:v>
      </x:c>
      <x:c r="N73" s="7" t="str">
        <x:v>地域の高低差・季節・停電時利用実績を含む一般化に限界。
実証車の2026年稼働・自治体の導入決定は未確認。</x:v>
      </x:c>
      <x:c r="O73" s="7" t="str">
        <x:v>シナリオ別年間エネルギー費（円）: 基準ケース: 9050000
EV・系統電力: 6760000
EV・30kW太陽光: 6680000
EV・60kW太陽光: 6360000
集計範囲: 学校と9台を想定する燃料・電力費。実測1台を基に拡張、車両/太陽光取得費・更新費を含むTCOではない。</x:v>
      </x:c>
      <x:c r="P73" s="7" t="str">
        <x:v>子どもの通学と災害時電源。運行を欠かせない公共サービスで電池余裕と代替車が重要。</x:v>
      </x:c>
      <x:c r="Q73" s="7" t="str">
        <x:v>運用電力・燃料と学校電力のモデル比較。9台、PV容量別のシナリオで、車両製造LCA除外。</x:v>
      </x:c>
      <x:c r="R73" s="7" t="str">
        <x:v>ENV-C10</x:v>
      </x:c>
      <x:c r="S73" s="7" t="str">
        <x:v>S147</x:v>
      </x:c>
      <x:c r="T73" s="7" t="str">
        <x:v>https://www.env.go.jp/content/000254037.pdf</x:v>
      </x:c>
      <x:c r="U73" s="7" t="str"/>
      <x:c r="V73" s="7" t="str">
        <x:v>SRC-d1c42a88c8</x:v>
      </x:c>
    </x:row>
    <x:row r="74" ht="68.80000305175781" customHeight="1">
      <x:c r="A74" s="7" t="str">
        <x:v>ENV-C11</x:v>
      </x:c>
      <x:c r="B74" s="7" t="str">
        <x:v>LRT沿線のEVバス・地域交通脱炭素化</x:v>
      </x:c>
      <x:c r="C74" s="7" t="str">
        <x:v>栃木県宇都宮市・芳賀町</x:v>
      </x:c>
      <x:c r="D74" s="7" t="str">
        <x:v>先行地域事業進行</x:v>
      </x:c>
      <x:c r="E74" s="18" t="str">
        <x:v>2024年度末</x:v>
      </x:c>
      <x:c r="F74" s="7" t="str">
        <x:v>環境省</x:v>
      </x:c>
      <x:c r="G74" s="7" t="str">
        <x:v>宇都宮市
芳賀町
交通事業者
地域新電力等</x:v>
      </x:c>
      <x:c r="H74" s="7" t="str">
        <x:v>2022～2024年度実績</x:v>
      </x:c>
      <x:c r="I74" s="7" t="str"/>
      <x:c r="J74" s="7" t="str">
        <x:v>ENV-P05（NEDO等の他省庁財源も含む）</x:v>
      </x:c>
      <x:c r="K74" s="7" t="str">
        <x:v>LRT・EVバス・地域内交通・再エネを接続</x:v>
      </x:c>
      <x:c r="L74" s="7" t="str">
        <x:v>EVバスFY2023 5台→FY2024 10台
FY2024地域内交通EVは目標10台に対し実績2台</x:v>
      </x:c>
      <x:c r="M74" s="7" t="str">
        <x:v>報告CO2削減はEVバス累計240t、地域内交通EV2t。指標ごとの係数・ベースラインは別途確認が必要。</x:v>
      </x:c>
      <x:c r="N74" s="7" t="str">
        <x:v>計画未達も併記。LRT乗客増をEVバスだけの成果に帰属しない。</x:v>
      </x:c>
      <x:c r="O74" s="7" t="str">
        <x:v>モビリティ総費用: 未確認
費用の帰属: 2025年1月のEVバス5台はNEDOグリーンイノベーション基金。環境省単独成果として計上不可。</x:v>
      </x:c>
      <x:c r="P74" s="7" t="str">
        <x:v>地域交通・運賃上限・乗継割引を電動化と併せて評価。設備偏重と異なり到達可能性が主成果。</x:v>
      </x:c>
      <x:c r="Q74" s="7" t="str">
        <x:v>報告値であり本章で再計算未実施。電力係数・累計期間・乗換効果の分離が課題。</x:v>
      </x:c>
      <x:c r="R74" s="7" t="str">
        <x:v>ENV-C11</x:v>
      </x:c>
      <x:c r="S74" s="7" t="str">
        <x:v>S025</x:v>
      </x:c>
      <x:c r="T74" s="7" t="str">
        <x:v>https://policies.env.go.jp/policy/roadmap/assets/preceding-region/kanto-R6-shinchoku-joukyou-hokokusyo-02.pdf#page=1</x:v>
      </x:c>
      <x:c r="U74" s="7" t="str"/>
      <x:c r="V74" s="7" t="str">
        <x:v>SRC-8004a9d509</x:v>
      </x:c>
    </x:row>
    <x:row r="75" ht="111.4000015258789" customHeight="1">
      <x:c r="A75" s="7" t="str">
        <x:v>ENV-C12</x:v>
      </x:c>
      <x:c r="B75" s="7" t="str">
        <x:v>乗鞍高原・脱炭素先行地域の辞退</x:v>
      </x:c>
      <x:c r="C75" s="7" t="str">
        <x:v>長野県松本市</x:v>
      </x:c>
      <x:c r="D75" s="7" t="str">
        <x:v>先行地域制度から辞退；全交通施策の終了とは限らない</x:v>
      </x:c>
      <x:c r="E75" s="18" t="n">
        <x:v>45911</x:v>
      </x:c>
      <x:c r="F75" s="7" t="str">
        <x:v>環境省</x:v>
      </x:c>
      <x:c r="G75" s="7" t="str">
        <x:v>松本市
大野川区
信州大学
地域事業者</x:v>
      </x:c>
      <x:c r="H75" s="7" t="str">
        <x:v>2022～2025年</x:v>
      </x:c>
      <x:c r="I75" s="7" t="str">
        <x:v>ENV-P05</x:v>
      </x:c>
      <x:c r="J75" s="7" t="str"/>
      <x:c r="K75" s="7" t="str">
        <x:v>再エネと観光拠点・交通結節点を含む地域計画</x:v>
      </x:c>
      <x:c r="L75" s="7" t="str">
        <x:v>2022年選定
2023年度報告で小水力の事業性・出資体制遅延
2025年辞退方針・環境省への連絡</x:v>
      </x:c>
      <x:c r="M75" s="7" t="str">
        <x:v>地域合意だけでなく資金・物価・実施期限の成立が必要と示す反証。交通成果は独立に検証できず。</x:v>
      </x:c>
      <x:c r="N75" s="7" t="str">
        <x:v>辞退は地域計画全体。未確認のEV便や交通事業の中止を推測しない。
観光センター計画は交通結節点・充電設備を含むが、補助対象の交通費全体は不明。
旧会見URLは取違えではなく本文後半に支持箇所あり。検索/findの未ヒットだけで不存在と判断しない。市会見はAI文字起こし編集の注意書きがあるため正式提案説明・国一覧でも照合。</x:v>
      </x:c>
      <x:c r="O75" s="7" t="str">
        <x:v>資料記載の課題: 資材・労務費上昇、主軸小水力の事業採算・資金調達
モビリティ固有費用: 未確認</x:v>
      </x:c>
      <x:c r="P75" s="7" t="str">
        <x:v>再エネ投資の地元便益、合意形成と返済可能性の両立。地域の自己決定を単なる未達扱いしない。</x:v>
      </x:c>
      <x:c r="Q75" s="7" t="str">
        <x:v>未確認</x:v>
      </x:c>
      <x:c r="R75" s="7" t="str">
        <x:v>ENV-C12</x:v>
      </x:c>
      <x:c r="S75" s="7" t="str">
        <x:v>S086
S026
S084
S085
S089
S087
S027</x:v>
      </x:c>
      <x:c r="T75" s="7" t="str">
        <x:v>https://www.city.matsumoto.nagano.jp/soshiki/51/76758.html</x:v>
      </x:c>
      <x:c r="U75" s="7" t="str">
        <x:v>https://policies.env.go.jp/policy/roadmap/assets/preceding-region/tyubu-R5-shinchoku-joukyou-hokokusyo-03.pdf
https://www.city.matsumoto.nagano.jp/site/yokosomayorsoffice/178856.html
https://www.city.matsumoto.nagano.jp/site/yokosomayorsoffice/182961.html
https://www.city.matsumoto.nagano.jp/uploaded/attachment/74679.pdf
https://www.city.matsumoto.nagano.jp/uploaded/attachment/114806.pdf
https://policies.env.go.jp/policy/roadmap/preceding-region/</x:v>
      </x:c>
      <x:c r="V75" s="7" t="str">
        <x:v>SRC-7a5564c4a6
SRC-93db88e59e
SRC-251a6bcb0a
SRC-fa66663dbc
SRC-e961907831
SRC-74282be904
SRC-96c044bd76</x:v>
      </x:c>
    </x:row>
    <x:row r="76" ht="68.80000305175781" customHeight="1">
      <x:c r="A76" s="7" t="str">
        <x:v>ENV-C13</x:v>
      </x:c>
      <x:c r="B76" s="7" t="str">
        <x:v>風力水素・FCフォークリフト物流</x:v>
      </x:c>
      <x:c r="C76" s="7" t="str">
        <x:v>神奈川県横浜市・川崎市</x:v>
      </x:c>
      <x:c r="D76" s="7" t="str">
        <x:v>実証終了</x:v>
      </x:c>
      <x:c r="E76" s="18" t="str">
        <x:v>2020年度</x:v>
      </x:c>
      <x:c r="F76" s="7" t="str">
        <x:v>環境省</x:v>
      </x:c>
      <x:c r="G76" s="7" t="str">
        <x:v>トヨタ自動車
横浜市
川崎市
物流事業者等</x:v>
      </x:c>
      <x:c r="H76" s="7" t="str">
        <x:v>2015～2020年度（対象期間内継続部分）</x:v>
      </x:c>
      <x:c r="I76" s="7" t="str">
        <x:v>ENV-P10</x:v>
      </x:c>
      <x:c r="J76" s="7" t="str"/>
      <x:c r="K76" s="7" t="str">
        <x:v>風力由来水素を小型充填車で倉庫のFCフォークリフトへ</x:v>
      </x:c>
      <x:c r="L76" s="7" t="str">
        <x:v>水素製造・貯蔵・小型配送・複数需要地点を実証</x:v>
      </x:c>
      <x:c r="M76" s="7" t="str">
        <x:v>供給と荷役性能を確認。一方、再エネ規模・距離・需要量に応じたCO2とコスト改善が必要。</x:v>
      </x:c>
      <x:c r="N76" s="7" t="str">
        <x:v>2015採択は期間外背景。実証完了を後年の商用継続と同一視しない。</x:v>
      </x:c>
      <x:c r="O76" s="7" t="str">
        <x:v>実際の総保有費用: 未確認</x:v>
      </x:c>
      <x:c r="P76" s="7" t="str">
        <x:v>物流荷役の排気・労働環境改善は価値候補だが労働者健康への測定結果なし。</x:v>
      </x:c>
      <x:c r="Q76" s="7" t="str">
        <x:v>風力水素でも設備製造、輸送、稼働率を含むLCAが必要。最終排出量数値は本資料から未採用。</x:v>
      </x:c>
      <x:c r="R76" s="7" t="str">
        <x:v>ENV-C13</x:v>
      </x:c>
      <x:c r="S76" s="7" t="str">
        <x:v>S169
S174</x:v>
      </x:c>
      <x:c r="T76" s="7" t="str">
        <x:v>https://www.env.go.jp/seisaku/list/ondanka_saisei/lowcarbon-h2-sc/company/PDF/demonstration_01.pdf</x:v>
      </x:c>
      <x:c r="U76" s="7" t="str">
        <x:v>https://www.env.go.jp/seisaku/list/ondanka_saisei/lowcarbon-h2-sc/support-tool-info/PDF_Excel/support-tool_lca-guide_ver2-1.pdf</x:v>
      </x:c>
      <x:c r="V76" s="7" t="str">
        <x:v>SRC-a622b09291
SRC-b7b3891ed5</x:v>
      </x:c>
    </x:row>
    <x:row r="77" ht="54.599998474121094" customHeight="1">
      <x:c r="A77" s="7" t="str">
        <x:v>ENV-C14</x:v>
      </x:c>
      <x:c r="B77" s="7" t="str">
        <x:v>しかおい水素ファーム</x:v>
      </x:c>
      <x:c r="C77" s="7" t="str">
        <x:v>北海道鹿追町・帯広等</x:v>
      </x:c>
      <x:c r="D77" s="7" t="str">
        <x:v>国実証から事業化へ移行</x:v>
      </x:c>
      <x:c r="E77" s="18" t="str">
        <x:v>2022年度事業開始資料</x:v>
      </x:c>
      <x:c r="F77" s="7" t="str">
        <x:v>環境省</x:v>
      </x:c>
      <x:c r="G77" s="7" t="str">
        <x:v>鹿追町
エア・ウォーター
エア・ウォーター北海道等</x:v>
      </x:c>
      <x:c r="H77" s="7" t="str">
        <x:v>2017開所→2022事業化</x:v>
      </x:c>
      <x:c r="I77" s="7" t="str">
        <x:v>ENV-P10</x:v>
      </x:c>
      <x:c r="J77" s="7" t="str"/>
      <x:c r="K77" s="7" t="str">
        <x:v>家畜ふん尿バイオガス由来水素、FCV・フォークリフト・定置FCへの供給</x:v>
      </x:c>
      <x:c r="L77" s="7" t="str">
        <x:v>2017年1月開所
2021年度実証終了、2022年度事業化</x:v>
      </x:c>
      <x:c r="M77" s="7" t="str">
        <x:v>自治体所有設備と民間運営への移行を確認。採算・燃料供給量の連続データは未確認。</x:v>
      </x:c>
      <x:c r="N77" s="7" t="str">
        <x:v>すべての実証用途が残存したわけではない。とかちむら等への供給は2019年度終了と資料に記載。
寒冷地・季節ごとの原料や需給を考慮。</x:v>
      </x:c>
      <x:c r="O77" s="7" t="str">
        <x:v>所有形態: 自治体設備所有・民間事業会社運営
収益性: 未確認</x:v>
      </x:c>
      <x:c r="P77" s="7" t="str">
        <x:v>畜産廃棄物の資源化と地元エネルギー。農業・物流部門便益の分配、料金と公費負担を追う。</x:v>
      </x:c>
      <x:c r="Q77" s="7" t="str">
        <x:v>原料処理の回避排出、製造/圧縮/輸送を含める必要。走行時排出ゼロだけでは評価不可。</x:v>
      </x:c>
      <x:c r="R77" s="7" t="str">
        <x:v>ENV-C14</x:v>
      </x:c>
      <x:c r="S77" s="7" t="str">
        <x:v>S161
S170
S012</x:v>
      </x:c>
      <x:c r="T77" s="7" t="str">
        <x:v>https://www.env.go.jp/press/103519.html</x:v>
      </x:c>
      <x:c r="U77" s="7" t="str">
        <x:v>https://www.env.go.jp/seisaku/list/ondanka_saisei/lowcarbon-h2-sc/company/PDF/demonstration_02.pdf
https://hokkaido.env.go.jp/content/000066911.pdf</x:v>
      </x:c>
      <x:c r="V77" s="7" t="str">
        <x:v>SRC-0638f0fbc7
SRC-8dbda88238
SRC-9c34acf210</x:v>
      </x:c>
    </x:row>
    <x:row r="78" ht="68.80000305175781" customHeight="1">
      <x:c r="A78" s="7" t="str">
        <x:v>ENV-C15</x:v>
      </x:c>
      <x:c r="B78" s="7" t="str">
        <x:v>周南・下関の副生水素モビリティ</x:v>
      </x:c>
      <x:c r="C78" s="7" t="str">
        <x:v>山口県周南市・下関市</x:v>
      </x:c>
      <x:c r="D78" s="7" t="str">
        <x:v>実証終了、一部用途は先行終了</x:v>
      </x:c>
      <x:c r="E78" s="18" t="str">
        <x:v>2021年度</x:v>
      </x:c>
      <x:c r="F78" s="7" t="str">
        <x:v>環境省</x:v>
      </x:c>
      <x:c r="G78" s="7" t="str">
        <x:v>トクヤマ
山口県
周南市
下関市等</x:v>
      </x:c>
      <x:c r="H78" s="7" t="str">
        <x:v>2015～2021年度（期間内継続部分）</x:v>
      </x:c>
      <x:c r="I78" s="7" t="str">
        <x:v>ENV-P10</x:v>
      </x:c>
      <x:c r="J78" s="7" t="str"/>
      <x:c r="K78" s="7" t="str">
        <x:v>工業副生水素とFCV共有・港湾FCフォークリフト等</x:v>
      </x:c>
      <x:c r="L78" s="7" t="str">
        <x:v>2019年度で下関港フォークリフト実証運転終了
2020年度に太陽光由来水素・ボイラー等を追加</x:v>
      </x:c>
      <x:c r="M78" s="7" t="str">
        <x:v>副生水素の地域利用と運用課題を確認。全用途のCO2数値・商用収支は未確認。</x:v>
      </x:c>
      <x:c r="N78" s="7" t="str">
        <x:v>副生水素をすべて再エネ由来と呼ばない。
船舶水素混焼試験の削減率をFCVや物流全体へ転用しない。</x:v>
      </x:c>
      <x:c r="O78" s="7" t="str">
        <x:v>実際の総保有費用: 未確認</x:v>
      </x:c>
      <x:c r="P78" s="7" t="str">
        <x:v>産業地域の資源活用。工場副生物の配分基準と地元交通利用可能性を確認。</x:v>
      </x:c>
      <x:c r="Q78" s="7" t="str">
        <x:v>工業副生水素の製造負荷配分が重要。FCV走行排出とサプライチェーン排出は別。</x:v>
      </x:c>
      <x:c r="R78" s="7" t="str">
        <x:v>ENV-C15</x:v>
      </x:c>
      <x:c r="S78" s="7" t="str">
        <x:v>S171</x:v>
      </x:c>
      <x:c r="T78" s="7" t="str">
        <x:v>https://www.env.go.jp/seisaku/list/ondanka_saisei/lowcarbon-h2-sc/company/PDF/demonstration_03.pdf</x:v>
      </x:c>
      <x:c r="U78" s="7" t="str"/>
      <x:c r="V78" s="7" t="str">
        <x:v>SRC-75cbe03af4</x:v>
      </x:c>
    </x:row>
    <x:row r="79" ht="40.400001525878906" customHeight="1">
      <x:c r="A79" s="7" t="str">
        <x:v>ENV-C16</x:v>
      </x:c>
      <x:c r="B79" s="7" t="str">
        <x:v>小水力水素の製造・輸送・FCV利用</x:v>
      </x:c>
      <x:c r="C79" s="7" t="str">
        <x:v>北海道白糠町・釧路市・士別市</x:v>
      </x:c>
      <x:c r="D79" s="7" t="str">
        <x:v>実証終了</x:v>
      </x:c>
      <x:c r="E79" s="18" t="str">
        <x:v>2020年度</x:v>
      </x:c>
      <x:c r="F79" s="7" t="str">
        <x:v>環境省</x:v>
      </x:c>
      <x:c r="G79" s="7" t="str">
        <x:v>東芝エネルギーシステムズ等</x:v>
      </x:c>
      <x:c r="H79" s="7" t="str">
        <x:v>2015～2020年度（期間内継続部分）</x:v>
      </x:c>
      <x:c r="I79" s="7" t="str">
        <x:v>ENV-P10</x:v>
      </x:c>
      <x:c r="J79" s="7" t="str"/>
      <x:c r="K79" s="7" t="str">
        <x:v>庶路ダム小水力の水素をFCV試験場等へ供給</x:v>
      </x:c>
      <x:c r="L79" s="7" t="str">
        <x:v>小水力・水素・輸送・試験場利用を実証</x:v>
      </x:c>
      <x:c r="M79" s="7" t="str">
        <x:v>電力費が大きいモデル条件等を検証。公共交通サービスの導入ではない。</x:v>
      </x:c>
      <x:c r="N79" s="7" t="str">
        <x:v>コスト構成は試算で実事業収益ではない。
FCV試験場を住民向け公共交通改善として数えない。</x:v>
      </x:c>
      <x:c r="O79" s="7" t="str">
        <x:v>費用モデル: 電力等変動費約65%、設備・人件費等固定費約32%と資料が試算
実際の利益: 未確認</x:v>
      </x:c>
      <x:c r="P79" s="7" t="str">
        <x:v>再エネ資源活用の技術学習。住民の移動公平性への直接効果は示されていない。</x:v>
      </x:c>
      <x:c r="Q79" s="7" t="str">
        <x:v>水素製造・貯蔵輸送・利用まで。最終実測LCA値は本章未確認。</x:v>
      </x:c>
      <x:c r="R79" s="7" t="str">
        <x:v>ENV-C16</x:v>
      </x:c>
      <x:c r="S79" s="7" t="str">
        <x:v>S172</x:v>
      </x:c>
      <x:c r="T79" s="7" t="str">
        <x:v>https://www.env.go.jp/seisaku/list/ondanka_saisei/lowcarbon-h2-sc/company/PDF/demonstration_05.pdf</x:v>
      </x:c>
      <x:c r="U79" s="7" t="str"/>
      <x:c r="V79" s="7" t="str">
        <x:v>SRC-042a78d4f8</x:v>
      </x:c>
    </x:row>
    <x:row r="80" ht="68.80000305175781" customHeight="1">
      <x:c r="A80" s="7" t="str">
        <x:v>ENV-C17</x:v>
      </x:c>
      <x:c r="B80" s="7" t="str">
        <x:v>徳島バスの燃料電池路線バス</x:v>
      </x:c>
      <x:c r="C80" s="7" t="str">
        <x:v>徳島県徳島市・鳴門市等</x:v>
      </x:c>
      <x:c r="D80" s="7" t="str">
        <x:v>路線運行実績あり、2026継続未確認</x:v>
      </x:c>
      <x:c r="E80" s="18" t="str">
        <x:v>2022-12-31集計まで</x:v>
      </x:c>
      <x:c r="F80" s="7" t="str">
        <x:v>環境省</x:v>
      </x:c>
      <x:c r="G80" s="7" t="str">
        <x:v>徳島バス
東亞合成
トヨタ自動車
徳島県等</x:v>
      </x:c>
      <x:c r="H80" s="7" t="str">
        <x:v>2021～2022年実績確認</x:v>
      </x:c>
      <x:c r="I80" s="7" t="str"/>
      <x:c r="J80" s="7" t="str">
        <x:v>環境省FCバス導入支援／ENV-P10関連</x:v>
      </x:c>
      <x:c r="K80" s="7" t="str">
        <x:v>地元工場副生水素とFC路線バス2台</x:v>
      </x:c>
      <x:c r="L80" s="7" t="str">
        <x:v>FCバス2台、6年リース、燃費19.14km/kgを事例資料が記載</x:v>
      </x:c>
      <x:c r="M80" s="7" t="str">
        <x:v>2021年12月～2022年12月の報告削減85.1t。表彰資料の年82tは予測、7か月48tと期間を区別。</x:v>
      </x:c>
      <x:c r="N80" s="7" t="str">
        <x:v>事例資料の運行開始年表記と集計期間に矛盾あり。2022年2月県会見で運行済みを確認。
副生水素への排出配分、製造・輸送の無追加排出という前提は再検証が必要。</x:v>
      </x:c>
      <x:c r="O80" s="7" t="str">
        <x:v>リース期間（年）: 6
額: 未確認</x:v>
      </x:c>
      <x:c r="P80" s="7" t="str">
        <x:v>排気・騒音改善と通常路線への投入。料金、故障代替、利用者アクセシビリティの評価は未確認。</x:v>
      </x:c>
      <x:c r="Q80" s="7" t="str">
        <x:v>水素サプライチェーンの前提付き運用排出比較。車両製造を含む完全LCAの実測とは扱わない。</x:v>
      </x:c>
      <x:c r="R80" s="7" t="str">
        <x:v>ENV-C17</x:v>
      </x:c>
      <x:c r="S80" s="7" t="str">
        <x:v>S003
S159
S307</x:v>
      </x:c>
      <x:c r="T80" s="7" t="str">
        <x:v>https://chushikoku.env.go.jp/shikoku/content/000128392.pdf</x:v>
      </x:c>
      <x:c r="U80" s="7" t="str">
        <x:v>https://www.env.go.jp/earth/ondanka/min_action_award/files/winners_r04_13.pdf
https://www.pref.tokushima.lg.jp/governor/press-record/7204047/</x:v>
      </x:c>
      <x:c r="V80" s="7" t="str">
        <x:v>SRC-85ed858f18
SRC-735258b810
SRC-18eb040d5a</x:v>
      </x:c>
    </x:row>
    <x:row r="81" ht="83" customHeight="1">
      <x:c r="A81" s="7" t="str">
        <x:v>ENV-C18</x:v>
      </x:c>
      <x:c r="B81" s="7" t="str">
        <x:v>電車回生電力とEVバス超急速充電</x:v>
      </x:c>
      <x:c r="C81" s="7" t="str">
        <x:v>埼玉県さいたま市浦和美園</x:v>
      </x:c>
      <x:c r="D81" s="7" t="str">
        <x:v>技術課題が残り当面の事業展開困難</x:v>
      </x:c>
      <x:c r="E81" s="18" t="str">
        <x:v>2021年発表を含む終了評価資料</x:v>
      </x:c>
      <x:c r="F81" s="7" t="str">
        <x:v>環境省</x:v>
      </x:c>
      <x:c r="G81" s="7" t="str">
        <x:v>住友商事
埼玉高速鉄道
日立等</x:v>
      </x:c>
      <x:c r="H81" s="7" t="str">
        <x:v>2017～2020年度資料・2021年成果記載</x:v>
      </x:c>
      <x:c r="I81" s="7" t="str">
        <x:v>ENV-P09</x:v>
      </x:c>
      <x:c r="J81" s="7" t="str"/>
      <x:c r="K81" s="7" t="str">
        <x:v>次世代蓄電池とパンタグラフ充電で回生電力をEVバスへ</x:v>
      </x:c>
      <x:c r="L81" s="7" t="str">
        <x:v>受電・安全連携・120kW超充電の動作試験は合格
コロナ中断時の蓄電池機能不全を分析</x:v>
      </x:c>
      <x:c r="M81" s="7" t="str">
        <x:v>要素検証と事業化を分離。将来拠点数・年3198t削減等は条件付きモデルで達成値ではない。</x:v>
      </x:c>
      <x:c r="N81" s="7" t="str">
        <x:v>表紙実施年度と工程表の年号に不整合；2017～2020年度を含む資料として扱い厳密終了日不明。
量産・販売の明確な計画提示は困難と明記。
システム削減量の大半は鉄道側省電力でEVバスだけではない。</x:v>
      </x:c>
      <x:c r="O81" s="7" t="str">
        <x:v>補助金・委託料の合計（円）: 672296000
総事業費（円）: 1815000000
システム実証費（円）: 500000000
システム費用目標（円）: 300000000
集計範囲: 終了評価資料の記載額。将来回収7年や削減単価は仮定付きで実績ではない。</x:v>
      </x:c>
      <x:c r="P81" s="7" t="str">
        <x:v>研究開発の失敗学を公開。設備導入補助より前に保守、長期停止耐性、代替電源と制度制約が重要。</x:v>
      </x:c>
      <x:c r="Q81" s="7" t="str">
        <x:v>3198t/年は鉄道3156t＋バス42tの想定モデル。三軒茶屋相当57拠点展開等の仮定、実測稼働成果でない。</x:v>
      </x:c>
      <x:c r="R81" s="7" t="str">
        <x:v>ENV-C18</x:v>
      </x:c>
      <x:c r="S81" s="7" t="str">
        <x:v>S158</x:v>
      </x:c>
      <x:c r="T81" s="7" t="str">
        <x:v>https://www.env.go.jp/earth/ondanka/cpttv_funds/pdf/db/222.pdf</x:v>
      </x:c>
      <x:c r="U81" s="7" t="str"/>
      <x:c r="V81" s="7" t="str">
        <x:v>SRC-b7e7392af8</x:v>
      </x:c>
    </x:row>
    <x:row r="82" ht="40.400001525878906" customHeight="1">
      <x:c r="A82" s="7" t="str">
        <x:v>ENV-C19</x:v>
      </x:c>
      <x:c r="B82" s="7" t="str">
        <x:v>郵便配送の交換式電動二輪</x:v>
      </x:c>
      <x:c r="C82" s="7" t="str">
        <x:v>全国・首都圏と一部地方都市</x:v>
      </x:c>
      <x:c r="D82" s="7" t="str">
        <x:v>導入支援実績</x:v>
      </x:c>
      <x:c r="E82" s="18" t="str">
        <x:v>2021年環境白書</x:v>
      </x:c>
      <x:c r="F82" s="7" t="str">
        <x:v>環境省等
環境省</x:v>
      </x:c>
      <x:c r="G82" s="7" t="str">
        <x:v>日本郵便
環境省等</x:v>
      </x:c>
      <x:c r="H82" s="7" t="str">
        <x:v>2020年度</x:v>
      </x:c>
      <x:c r="I82" s="7" t="str">
        <x:v>ENV-P07</x:v>
      </x:c>
      <x:c r="J82" s="7" t="str"/>
      <x:c r="K82" s="7" t="str">
        <x:v>配送用電動二輪と交換電池</x:v>
      </x:c>
      <x:c r="L82" s="7" t="str">
        <x:v>FY2020電動二輪2000台導入支援</x:v>
      </x:c>
      <x:c r="M82" s="7" t="str">
        <x:v>支援台数以外のCO2・配送生産性・財務効果は本資料から未確認。</x:v>
      </x:c>
      <x:c r="N82" s="7" t="str">
        <x:v>2000台は環境省支援数で日本郵便全保有台数ではない。
二輪を四輪EVトラックの普及実績に混ぜない。</x:v>
      </x:c>
      <x:c r="O82" s="7" t="str">
        <x:v>支援額: 未確認</x:v>
      </x:c>
      <x:c r="P82" s="7" t="str">
        <x:v>配送サービス継続・騒音削減候補。実測便益不明。</x:v>
      </x:c>
      <x:c r="Q82" s="7" t="str">
        <x:v>電力、交換電池製造・更新、配送距離を含む比較が必要。</x:v>
      </x:c>
      <x:c r="R82" s="7" t="str">
        <x:v>ENV-C19</x:v>
      </x:c>
      <x:c r="S82" s="7" t="str">
        <x:v>S160</x:v>
      </x:c>
      <x:c r="T82" s="7" t="str">
        <x:v>https://www.env.go.jp/policy/hakusyo/r03/html/hj21010201.html</x:v>
      </x:c>
      <x:c r="U82" s="7" t="str"/>
      <x:c r="V82" s="7" t="str">
        <x:v>SRC-0bd9935111</x:v>
      </x:c>
    </x:row>
    <x:row r="83" ht="68.80000305175781" customHeight="1">
      <x:c r="A83" s="7" t="str">
        <x:v>ENV-C20</x:v>
      </x:c>
      <x:c r="B83" s="7" t="str">
        <x:v>EV昼充電へのナッジと小額報酬</x:v>
      </x:c>
      <x:c r="C83" s="7" t="str">
        <x:v>全国の調査参加者・充電サービス顧客</x:v>
      </x:c>
      <x:c r="D83" s="7" t="str">
        <x:v>短期予備実証結果公表</x:v>
      </x:c>
      <x:c r="E83" s="18" t="n">
        <x:v>45450</x:v>
      </x:c>
      <x:c r="F83" s="7" t="str">
        <x:v>環境省</x:v>
      </x:c>
      <x:c r="G83" s="7" t="str">
        <x:v>環境省
電力シェアリング
サイバー創研
ENECHANGE等</x:v>
      </x:c>
      <x:c r="H83" s="7" t="str">
        <x:v>2023実証→2024公表</x:v>
      </x:c>
      <x:c r="I83" s="7" t="str">
        <x:v>ENV-P11</x:v>
      </x:c>
      <x:c r="J83" s="7" t="str"/>
      <x:c r="K83" s="7" t="str">
        <x:v>充電時刻の情報・比較・報酬を組み合わせた無作為割付実験</x:v>
      </x:c>
      <x:c r="L83" s="7" t="str">
        <x:v>2023年7月220人を110/110に割付
2023年11月3週間、充電実施者180対179を分析</x:v>
      </x:c>
      <x:c r="M83" s="7" t="str">
        <x:v>昼充電促進を報告。環境情報と報酬を分離した単独効果、長期習慣化、報酬終了後は未確認。</x:v>
      </x:c>
      <x:c r="N83" s="7" t="str">
        <x:v>EV保有者・サービス顧客であり全住民を代表しない。
実験期間中に一度以上充電した層の分析なのでITTと同一とは限らない。</x:v>
      </x:c>
      <x:c r="O83" s="7" t="str">
        <x:v>インセンティブ例: 11月試験は昼充電1日50円相当クーポン
実験総費用: 未確認</x:v>
      </x:c>
      <x:c r="P83" s="7" t="str">
        <x:v>自宅充電・昼間裁量のある層に有利になり得る。低所得・集合住宅・交代勤務への外的妥当性は未検証。</x:v>
      </x:c>
      <x:c r="Q83" s="7" t="str">
        <x:v>充電時間帯の系統再エネ比率による運用排出差。EV導入による総排出削減やLCAを直接検証しない。</x:v>
      </x:c>
      <x:c r="R83" s="7" t="str">
        <x:v>ENV-C20</x:v>
      </x:c>
      <x:c r="S83" s="7" t="str">
        <x:v>S166
S167</x:v>
      </x:c>
      <x:c r="T83" s="7" t="str">
        <x:v>https://www.env.go.jp/press/press_03007.html</x:v>
      </x:c>
      <x:c r="U83" s="7" t="str">
        <x:v>https://www.env.go.jp/press/press_03240.html</x:v>
      </x:c>
      <x:c r="V83" s="7" t="str">
        <x:v>SRC-e87e180e50
SRC-d57a84a0d3</x:v>
      </x:c>
    </x:row>
    <x:row r="84" ht="111.4000015258789" customHeight="1">
      <x:c r="A84" s="7" t="str">
        <x:v>DIG-C01</x:v>
      </x:c>
      <x:c r="B84" s="7" t="str">
        <x:v>東京臨海部SIP自動運転実証</x:v>
      </x:c>
      <x:c r="C84" s="7" t="str">
        <x:v>東京都臨海副都心・羽田・首都高速</x:v>
      </x:c>
      <x:c r="D84" s="7" t="str">
        <x:v>実証完了・研究成果</x:v>
      </x:c>
      <x:c r="E84" s="18" t="str">
        <x:v>2022年度計画と2023成果発表</x:v>
      </x:c>
      <x:c r="F84" s="7" t="str">
        <x:v>内閣府
警察庁等
内閣府CSTI
NEDO
警察庁・総務省・経済産業省・国土交通省
関係省庁
内閣府・総務省・デジタル庁等</x:v>
      </x:c>
      <x:c r="G84" s="7" t="str">
        <x:v>内閣府
NEDO
警察庁等
三菱電機等
自動車・部品メーカー・大学</x:v>
      </x:c>
      <x:c r="H84" s="7" t="str">
        <x:v>2017–2022</x:v>
      </x:c>
      <x:c r="I84" s="7" t="str">
        <x:v>DIG-P02
DIG-P03</x:v>
      </x:c>
      <x:c r="J84" s="7" t="str"/>
      <x:c r="K84" s="7" t="str">
        <x:v>3D地図、信号、合流、車線交通情報。2021年度にV2Nを導入。</x:v>
      </x:c>
      <x:c r="L84" s="7" t="str">
        <x:v>2021年度22機関参加。V2IとV2Nの実交通環境検証。</x:v>
      </x:c>
      <x:c r="M84" s="7" t="str">
        <x:v>交通情報の技術検証。地域住民の移動改善や商業L4採算は本証拠から評価不可。</x:v>
      </x:c>
      <x:c r="N84" s="7" t="str">
        <x:v>国内外開放の技術検証フィールド。SIP期をまたぐ同一地域を二重に新規実装数へ加算しない。</x:v>
      </x:c>
      <x:c r="O84" s="7" t="str">
        <x:v>当該確認資料では総費用・補助終了後の運営費負担を確定できず。</x:v>
      </x:c>
      <x:c r="P84" s="7" t="str"/>
      <x:c r="Q84" s="7" t="str"/>
      <x:c r="R84" s="7" t="str">
        <x:v>DIG-C01</x:v>
      </x:c>
      <x:c r="S84" s="7" t="str">
        <x:v>S335
S292
S315
S314</x:v>
      </x:c>
      <x:c r="T84" s="7" t="str">
        <x:v>https://www8.cao.go.jp/koutu/taisaku/h30kou_haku/zenbun/genkyo/feature/feature_02.html</x:v>
      </x:c>
      <x:c r="U84" s="7" t="str">
        <x:v>https://www.nedo.go.jp/news/press/AA5_101482.html
https://www.sip-adus.go.jp/sip/file/sip_2022_plan_s.pdf
https://www.sip-adus.go.jp/showcase/a1.html</x:v>
      </x:c>
      <x:c r="V84" s="7" t="str">
        <x:v>SRC-a57cb5713e
SRC-807860fc7e
SRC-60de26032e
SRC-7cea9604ac</x:v>
      </x:c>
    </x:row>
    <x:row r="85" ht="125.5999984741211" customHeight="1">
      <x:c r="A85" s="7" t="str">
        <x:v>DIG-C03</x:v>
      </x:c>
      <x:c r="B85" s="7" t="str">
        <x:v>前橋駅～中央前橋駅5G遠隔監視／路車協調</x:v>
      </x:c>
      <x:c r="C85" s="7" t="str">
        <x:v>群馬県前橋市（R6は中之条町共同）</x:v>
      </x:c>
      <x:c r="D85" s="7" t="str">
        <x:v>2021公道実証計画・R6成果報告あり</x:v>
      </x:c>
      <x:c r="E85" s="18" t="n">
        <x:v>45852</x:v>
      </x:c>
      <x:c r="F85" s="7" t="str">
        <x:v>総務省
事務局
地域コンソーシアム
三菱総合研究所（事務局）
内閣官房・内閣府地方創生
デジタル庁（基盤・実装支援）
地方自治体
内閣府・総務省・デジタル庁等</x:v>
      </x:c>
      <x:c r="G85" s="7" t="str">
        <x:v>TOPIC
群馬大学
日本モビリティ
NEC
日本中央バス
前橋市</x:v>
      </x:c>
      <x:c r="H85" s="7" t="str">
        <x:v>2020–2021／2023–2024</x:v>
      </x:c>
      <x:c r="I85" s="7" t="str">
        <x:v>DIG-P14
DIG-P15
DIG-P12</x:v>
      </x:c>
      <x:c r="J85" s="7" t="str"/>
      <x:c r="K85" s="7" t="str">
        <x:v>約1kmの既存バスルートで5G遠隔管制。ローカル/キャリア間切替は試験路、後続事業で路車協調設備。</x:v>
      </x:c>
      <x:c r="L85" s="7" t="str">
        <x:v>2021-02-15～28の公道実証計画を公表（この告知のみで完了とはしない）。R6報告はデジ田・国交省道路局支援設備を継続利用する設計を記録。</x:v>
      </x:c>
      <x:c r="M85" s="7" t="str">
        <x:v>安全通信・設備継続利用の知見。省人化人数や営業収支改善の実証は未抽出。</x:v>
      </x:c>
      <x:c r="N85" s="7" t="str">
        <x:v>2021はドライバー乗車。ローカル5Gの全区間公道運用・無人L4と混同しない。各年度事業を別地域と数えない。</x:v>
      </x:c>
      <x:c r="O85" s="7" t="str">
        <x:v>当該確認資料では総費用・補助終了後の運営費負担を確定できず。</x:v>
      </x:c>
      <x:c r="P85" s="7" t="str"/>
      <x:c r="Q85" s="7" t="str"/>
      <x:c r="R85" s="7" t="str">
        <x:v>DIG-C03</x:v>
      </x:c>
      <x:c r="S85" s="7" t="str">
        <x:v>S175
S029</x:v>
      </x:c>
      <x:c r="T85" s="7" t="str">
        <x:v>https://www.gunma-u.ac.jp/information/84393</x:v>
      </x:c>
      <x:c r="U85" s="7" t="str">
        <x:v>https://pubpjt.mri.co.jp/pjt_related/rcsad-info/eqghpc000000030i-att/20250714rcsad-info_houkoku_gunma_maebashi_nakanojo.pdf</x:v>
      </x:c>
      <x:c r="V85" s="7" t="str">
        <x:v>SRC-f76df920ec
SRC-c3999aa7a9</x:v>
      </x:c>
    </x:row>
    <x:row r="86" ht="68.80000305175781" customHeight="1">
      <x:c r="A86" s="7" t="str">
        <x:v>DIG-C04</x:v>
      </x:c>
      <x:c r="B86" s="7" t="str">
        <x:v>沼津大手町交差点5G路車協調</x:v>
      </x:c>
      <x:c r="C86" s="7" t="str">
        <x:v>静岡県沼津市</x:v>
      </x:c>
      <x:c r="D86" s="7" t="str">
        <x:v>実証計画を確認（完了証拠未取得）</x:v>
      </x:c>
      <x:c r="E86" s="18" t="n">
        <x:v>44209</x:v>
      </x:c>
      <x:c r="F86" s="7" t="str">
        <x:v>総務省
事務局
地域コンソーシアム
内閣府・総務省・デジタル庁等</x:v>
      </x:c>
      <x:c r="G86" s="7" t="str">
        <x:v>静岡県
群馬大学
日本モビリティ
NEC</x:v>
      </x:c>
      <x:c r="H86" s="7" t="str">
        <x:v>2020–2021</x:v>
      </x:c>
      <x:c r="I86" s="7" t="str">
        <x:v>DIG-P14</x:v>
      </x:c>
      <x:c r="J86" s="7" t="str"/>
      <x:c r="K86" s="7" t="str">
        <x:v>御殿場評価環境後、沼津公道交差点に基地局・カメラを置き歩行者/車両を認識。</x:v>
      </x:c>
      <x:c r="L86" s="7" t="str">
        <x:v>公道実証期間2021-01-13～22を公表。</x:v>
      </x:c>
      <x:c r="M86" s="7" t="str">
        <x:v>安全寄与は検証目的。恒常運行・事故減少効果は未確認。</x:v>
      </x:c>
      <x:c r="N86" s="7" t="str">
        <x:v>発表は計画の一次資料であって成果報告ではない。前橋案件の他地域連携。</x:v>
      </x:c>
      <x:c r="O86" s="7" t="str">
        <x:v>当該確認資料では総費用・補助終了後の運営費負担を確定できず。</x:v>
      </x:c>
      <x:c r="P86" s="7" t="str"/>
      <x:c r="Q86" s="7" t="str"/>
      <x:c r="R86" s="7" t="str">
        <x:v>DIG-C04</x:v>
      </x:c>
      <x:c r="S86" s="7" t="str">
        <x:v>S175</x:v>
      </x:c>
      <x:c r="T86" s="7" t="str">
        <x:v>https://www.gunma-u.ac.jp/information/84393</x:v>
      </x:c>
      <x:c r="U86" s="7" t="str"/>
      <x:c r="V86" s="7" t="str">
        <x:v>SRC-f76df920ec</x:v>
      </x:c>
    </x:row>
    <x:row r="87" ht="139.8000030517578" customHeight="1">
      <x:c r="A87" s="7" t="str">
        <x:v>DIG-C05</x:v>
      </x:c>
      <x:c r="B87" s="7" t="str">
        <x:v>糠平湖トンネル遠隔監視通信</x:v>
      </x:c>
      <x:c r="C87" s="7" t="str">
        <x:v>北海道上士幌町</x:v>
      </x:c>
      <x:c r="D87" s="7" t="str">
        <x:v>実証完了・固定化検討</x:v>
      </x:c>
      <x:c r="E87" s="18" t="str">
        <x:v>2025-01報告／2025-07-14公開</x:v>
      </x:c>
      <x:c r="F87" s="7" t="str">
        <x:v>総務省
三菱総合研究所（事務局）
地域コンソーシアム
内閣府・総務省・デジタル庁等</x:v>
      </x:c>
      <x:c r="G87" s="7" t="str">
        <x:v>BOLDLY
ソフトバンク
上士幌町</x:v>
      </x:c>
      <x:c r="H87" s="7" t="str">
        <x:v>2024年度</x:v>
      </x:c>
      <x:c r="I87" s="7" t="str">
        <x:v>DIG-P15</x:v>
      </x:c>
      <x:c r="J87" s="7" t="str"/>
      <x:c r="K87" s="7" t="str">
        <x:v>山間トンネル内の吹込み式基地局・監視映像通信を検証。</x:v>
      </x:c>
      <x:c r="L87" s="7" t="str">
        <x:v>2024-07-08～19に96走行。基地局配置で通信改善。</x:v>
      </x:c>
      <x:c r="M87" s="7" t="str">
        <x:v>山間環境の配置・低帯域最適化要件を抽出。2SIMフェールオーバーは不感地帯で成功せず。</x:v>
      </x:c>
      <x:c r="N87" s="7" t="str">
        <x:v>天候は晴/曇・乾燥、交通少。保守・データ管理・費用分担等に「実施なし」の項目あり。市街地ARMA定期運行とは別系統の通信実証であり、2026の同定期運行メンテナンス休止をトンネル実証の失敗と読み替えない。</x:v>
      </x:c>
      <x:c r="O87" s="7" t="str">
        <x:v>本設概算（実績支出ではない）：吹込み2箇所約109,260,800円～、LCX約204,260,800円～、既設ダム電源借用案約5,000,800円～。条件差が大きく一般化不可。</x:v>
      </x:c>
      <x:c r="P87" s="7" t="str"/>
      <x:c r="Q87" s="7" t="str">
        <x:v>scope: 関連する市街地ARMA定期運行。糠平湖トンネル通信実証とは別系統。
status: 2026-06-20からメンテナンス運休、再開未定。2026-10のロボタクシーは別実証。
as_of: 2026-10-31公式ページ確認
source: url: https://www.kamishihoro.jp/sp/self_driving_bus
title: 上士幌町 自動運転の地域実装プロジェクト
date: 2026-10-31閲覧（2026-09-14告知含む）
locator: 運行日・ルート、時刻表：2026-06-20よりメンテナンス運休・再開未定。ロボタクは別実証</x:v>
      </x:c>
      <x:c r="R87" s="7" t="str">
        <x:v>DIG-C05</x:v>
      </x:c>
      <x:c r="S87" s="7" t="str">
        <x:v>S030
S036
S188</x:v>
      </x:c>
      <x:c r="T87" s="7" t="str">
        <x:v>https://pubpjt.mri.co.jp/pjt_related/rcsad-info/eqghpc000000030i-att/20250714rcsad-info_houkoku_hokkaido_kamishihoro.pdf</x:v>
      </x:c>
      <x:c r="U87" s="7" t="str">
        <x:v>https://pubpjt.mri.co.jp/pjt_related/rcsad-info/index.html
https://www.kamishihoro.jp/sp/self_driving_bus</x:v>
      </x:c>
      <x:c r="V87" s="7" t="str">
        <x:v>SRC-8b71946062
SRC-dd614f096b
SRC-6bba5e5a9d</x:v>
      </x:c>
    </x:row>
    <x:row r="88" ht="111.4000015258789" customHeight="1">
      <x:c r="A88" s="7" t="str">
        <x:v>DIG-C06</x:v>
      </x:c>
      <x:c r="B88" s="7" t="str">
        <x:v>小松駅・空港路線のローカル5Gと路側情報配信</x:v>
      </x:c>
      <x:c r="C88" s="7" t="str">
        <x:v>石川県小松市</x:v>
      </x:c>
      <x:c r="D88" s="7" t="str">
        <x:v>通信実証完了／先行地域採択</x:v>
      </x:c>
      <x:c r="E88" s="18" t="n">
        <x:v>46087</x:v>
      </x:c>
      <x:c r="F88" s="7" t="str">
        <x:v>総務省
三菱総合研究所（事務局）
地域コンソーシアム
デジタル庁
関係府省庁
地方自治体
内閣府・総務省・デジタル庁等</x:v>
      </x:c>
      <x:c r="G88" s="7" t="str">
        <x:v>NEC
BOLDLY
ティアフォー
小松市</x:v>
      </x:c>
      <x:c r="H88" s="7" t="str">
        <x:v>2024年度／2026先行地域選定</x:v>
      </x:c>
      <x:c r="I88" s="7" t="str">
        <x:v>DIG-P15
DIG-P11</x:v>
      </x:c>
      <x:c r="J88" s="7" t="str"/>
      <x:c r="K88" s="7" t="str">
        <x:v>駅ロータリーOTA/ログ転送、T字路遠方車両検知情報のV2N配信。</x:v>
      </x:c>
      <x:c r="L88" s="7" t="str">
        <x:v>20GBのOTA転送が全測定で30分以内、最長15分23秒。</x:v>
      </x:c>
      <x:c r="M88" s="7" t="str">
        <x:v>データ更新能力を確認。ただし路側情報と自動運転車両の判断・制御連携はR6スコープ外で手動介入減は未検証。</x:v>
      </x:c>
      <x:c r="N88" s="7" t="str">
        <x:v>比較対象Wi-Fiは机上検討。事故削減・定時性向上は期待効果であり実績でない。</x:v>
      </x:c>
      <x:c r="O88" s="7" t="str">
        <x:v>費用額未抽出。保守・減価償却・LTE/保存サービス・電気料金の継続負担とインフラ共同利用/利用料徴収を課題化。</x:v>
      </x:c>
      <x:c r="P88" s="7" t="str"/>
      <x:c r="Q88" s="7" t="str"/>
      <x:c r="R88" s="7" t="str">
        <x:v>DIG-C06</x:v>
      </x:c>
      <x:c r="S88" s="7" t="str">
        <x:v>S031
S142</x:v>
      </x:c>
      <x:c r="T88" s="7" t="str">
        <x:v>https://pubpjt.mri.co.jp/pjt_related/rcsad-info/eqghpc000000030i-att/20250714rcsad-info_houkoku_ishikawa_komatsu.pdf</x:v>
      </x:c>
      <x:c r="U88" s="7" t="str">
        <x:v>https://www.digital.go.jp/policies/mobility/a71c2b0b-0506-43de-b7f8-2cb20172752a</x:v>
      </x:c>
      <x:c r="V88" s="7" t="str">
        <x:v>SRC-fad30d1732
SRC-91022ef486</x:v>
      </x:c>
    </x:row>
    <x:row r="89" ht="97.19999694824219" customHeight="1">
      <x:c r="A89" s="7" t="str">
        <x:v>DIG-C07</x:v>
      </x:c>
      <x:c r="B89" s="7" t="str">
        <x:v>松江市の遠隔監視・信号／路車協調</x:v>
      </x:c>
      <x:c r="C89" s="7" t="str">
        <x:v>島根県松江市</x:v>
      </x:c>
      <x:c r="D89" s="7" t="str">
        <x:v>実証完了・運用改善必要</x:v>
      </x:c>
      <x:c r="E89" s="18" t="n">
        <x:v>46176</x:v>
      </x:c>
      <x:c r="F89" s="7" t="str">
        <x:v>総務省
三菱総合研究所（事務局）
地域コンソーシアム
内閣府・総務省・デジタル庁等</x:v>
      </x:c>
      <x:c r="G89" s="7" t="str">
        <x:v>ソフトバンク
先進モビリティ
沖電気工業
日本信号
松江市交通局
一畑バス</x:v>
      </x:c>
      <x:c r="H89" s="7" t="str">
        <x:v>2025年度</x:v>
      </x:c>
      <x:c r="I89" s="7" t="str">
        <x:v>DIG-P15</x:v>
      </x:c>
      <x:c r="J89" s="7" t="str"/>
      <x:c r="K89" s="7" t="str">
        <x:v>自動運転車・通信・信号・遠隔監視を統合し試乗運行。</x:v>
      </x:c>
      <x:c r="L89" s="7" t="str">
        <x:v>12日間の試乗会で監視チェック達成度を評価。状態把握の一部98%、一部100%。</x:v>
      </x:c>
      <x:c r="M89" s="7" t="str">
        <x:v>通常運用の監視を継続できたが、再起動手順漏れ・構成設定漏れ・サーバーリソース枯渇で欠落。1対Nに向けバックアップ・手順が課題。</x:v>
      </x:c>
      <x:c r="N89" s="7" t="str">
        <x:v>98%は限定チェック集計であって年間可用性・安全保証ではない。技術成熟度と運用手順依存を区分。</x:v>
      </x:c>
      <x:c r="O89" s="7" t="str">
        <x:v>当該確認資料では総費用・補助終了後の運営費負担を確定できず。</x:v>
      </x:c>
      <x:c r="P89" s="7" t="str"/>
      <x:c r="Q89" s="7" t="str"/>
      <x:c r="R89" s="7" t="str">
        <x:v>DIG-C07</x:v>
      </x:c>
      <x:c r="S89" s="7" t="str">
        <x:v>S034</x:v>
      </x:c>
      <x:c r="T89" s="7" t="str">
        <x:v>https://pubpjt.mri.co.jp/pjt_related/rcsad-info/eqghpc000000030i-att/20260603rcsad-info_houkoku_shimane_matsue.pdf</x:v>
      </x:c>
      <x:c r="U89" s="7" t="str"/>
      <x:c r="V89" s="7" t="str">
        <x:v>SRC-67094370f5</x:v>
      </x:c>
    </x:row>
    <x:row r="90" ht="68.80000305175781" customHeight="1">
      <x:c r="A90" s="7" t="str">
        <x:v>DIG-C08</x:v>
      </x:c>
      <x:c r="B90" s="7" t="str">
        <x:v>美郷町の複数回線・長距離Wi-Fi・衛星通信</x:v>
      </x:c>
      <x:c r="C90" s="7" t="str">
        <x:v>島根県美郷町（粕渕・比之宮）</x:v>
      </x:c>
      <x:c r="D90" s="7" t="str">
        <x:v>R7実証完了／R8継続採択</x:v>
      </x:c>
      <x:c r="E90" s="18" t="n">
        <x:v>46216</x:v>
      </x:c>
      <x:c r="F90" s="7" t="str">
        <x:v>総務省
三菱総合研究所（事務局）
地域コンソーシアム
内閣府・総務省・デジタル庁等</x:v>
      </x:c>
      <x:c r="G90" s="7" t="str">
        <x:v>NTT西日本島根支店
NTTビジネスソリューションズ
マクニカ
美郷町</x:v>
      </x:c>
      <x:c r="H90" s="7" t="str">
        <x:v>2024–2026</x:v>
      </x:c>
      <x:c r="I90" s="7" t="str">
        <x:v>DIG-P15</x:v>
      </x:c>
      <x:c r="J90" s="7" t="str"/>
      <x:c r="K90" s="7" t="str">
        <x:v>複数キャリア集約、不感地帯の長距離Wi-Fi・低軌道衛星で遠隔監視。</x:v>
      </x:c>
      <x:c r="L90" s="7" t="str">
        <x:v>R7は前年の映像途絶・介入問題への通信対策を検証。</x:v>
      </x:c>
      <x:c r="M90" s="7" t="str">
        <x:v>複数回線環境で通信品質確保。単一回線との走行差を定量比較できず、1社しか届かない地域は別対策が必要。</x:v>
      </x:c>
      <x:c r="N90" s="7" t="str">
        <x:v>降雨/降雪で速度低下、バッテリー仮設から恒久電源工事へ移行が必要。技術実証の低費用が恒久運用費保証とはならない。</x:v>
      </x:c>
      <x:c r="O90" s="7" t="str">
        <x:v>基地局建設より低コストの構成を報告するが恒久設置費総額は未確定。</x:v>
      </x:c>
      <x:c r="P90" s="7" t="str"/>
      <x:c r="Q90" s="7" t="str"/>
      <x:c r="R90" s="7" t="str">
        <x:v>DIG-C08</x:v>
      </x:c>
      <x:c r="S90" s="7" t="str">
        <x:v>S035
S036</x:v>
      </x:c>
      <x:c r="T90" s="7" t="str">
        <x:v>https://pubpjt.mri.co.jp/pjt_related/rcsad-info/eqghpc000000030i-att/20260603rcsad-info_houkoku_shimane_misato.pdf</x:v>
      </x:c>
      <x:c r="U90" s="7" t="str">
        <x:v>https://pubpjt.mri.co.jp/pjt_related/rcsad-info/index.html</x:v>
      </x:c>
      <x:c r="V90" s="7" t="str">
        <x:v>SRC-6510930b8a
SRC-dd614f096b</x:v>
      </x:c>
    </x:row>
    <x:row r="91" ht="68.80000305175781" customHeight="1">
      <x:c r="A91" s="7" t="str">
        <x:v>DIG-C09</x:v>
      </x:c>
      <x:c r="B91" s="7" t="str">
        <x:v>高知市の救急車情報連携・自動停止</x:v>
      </x:c>
      <x:c r="C91" s="7" t="str">
        <x:v>高知県高知市</x:v>
      </x:c>
      <x:c r="D91" s="7" t="str">
        <x:v>実証完了・機能拡張課題</x:v>
      </x:c>
      <x:c r="E91" s="18" t="n">
        <x:v>46176</x:v>
      </x:c>
      <x:c r="F91" s="7" t="str">
        <x:v>総務省
三菱総合研究所（事務局）
地域コンソーシアム
内閣府・総務省・デジタル庁等</x:v>
      </x:c>
      <x:c r="G91" s="7" t="str">
        <x:v>NTT西日本高知支店
NTTビジネスソリューションズ
マクニカ
高知市・救急関係者</x:v>
      </x:c>
      <x:c r="H91" s="7" t="str">
        <x:v>2025年度</x:v>
      </x:c>
      <x:c r="I91" s="7" t="str">
        <x:v>DIG-P15</x:v>
      </x:c>
      <x:c r="J91" s="7" t="str"/>
      <x:c r="K91" s="7" t="str">
        <x:v>ITS Connect等による緊急車位置・走行状態からバス停止/再発進。</x:v>
      </x:c>
      <x:c r="L91" s="7" t="str">
        <x:v>追加の救急隊員操作なしで位置・走行状態連携と一時停止/再発進を確認。</x:v>
      </x:c>
      <x:c r="M91" s="7" t="str">
        <x:v>現場操作負荷を増やさない有用性。事故減少実績ではない。</x:v>
      </x:c>
      <x:c r="N91" s="7" t="str">
        <x:v>路肩退避は未実装、交差点内停止を含み適切停止位置の選定に課題。非搭載救急車への対応は未解決。</x:v>
      </x:c>
      <x:c r="O91" s="7" t="str">
        <x:v>当該確認資料では総費用・補助終了後の運営費負担を確定できず。</x:v>
      </x:c>
      <x:c r="P91" s="7" t="str"/>
      <x:c r="Q91" s="7" t="str"/>
      <x:c r="R91" s="7" t="str">
        <x:v>DIG-C09</x:v>
      </x:c>
      <x:c r="S91" s="7" t="str">
        <x:v>S033</x:v>
      </x:c>
      <x:c r="T91" s="7" t="str">
        <x:v>https://pubpjt.mri.co.jp/pjt_related/rcsad-info/eqghpc000000030i-att/20260603rcsad-info_houkoku_kouchi.pdf</x:v>
      </x:c>
      <x:c r="U91" s="7" t="str"/>
      <x:c r="V91" s="7" t="str">
        <x:v>SRC-846bbdb748</x:v>
      </x:c>
    </x:row>
    <x:row r="92" ht="68.80000305175781" customHeight="1">
      <x:c r="A92" s="7" t="str">
        <x:v>DIG-C10</x:v>
      </x:c>
      <x:c r="B92" s="7" t="str">
        <x:v>福山市の緊急自動車位置情報・車両制御通信実証</x:v>
      </x:c>
      <x:c r="C92" s="7" t="str">
        <x:v>広島県福山市</x:v>
      </x:c>
      <x:c r="D92" s="7" t="str">
        <x:v>採択取下げ</x:v>
      </x:c>
      <x:c r="E92" s="18" t="str">
        <x:v>2026-10-31閲覧時</x:v>
      </x:c>
      <x:c r="F92" s="7" t="str">
        <x:v>総務省
三菱総合研究所（事務局）
地域コンソーシアム
内閣府・総務省・デジタル庁等</x:v>
      </x:c>
      <x:c r="G92" s="7" t="str">
        <x:v>BRIDGEOVER
日本モビリティ
福山市
福山地区消防組合消防局</x:v>
      </x:c>
      <x:c r="H92" s="7" t="str">
        <x:v>2025年度</x:v>
      </x:c>
      <x:c r="I92" s="7" t="str">
        <x:v>DIG-P15</x:v>
      </x:c>
      <x:c r="J92" s="7" t="str"/>
      <x:c r="K92" s="7" t="str">
        <x:v>救急車位置と消防署出動表示情報をクラウド集約し停止制御に連携する計画。</x:v>
      </x:c>
      <x:c r="L92" s="7" t="str">
        <x:v>事業概要公開後、完遂困難により総務省・事務局協議で採択取下げ。</x:v>
      </x:c>
      <x:c r="M92" s="7" t="str">
        <x:v>未達成。停止指示100%・停止100%は計画目標で実績ではない。</x:v>
      </x:c>
      <x:c r="N92" s="7" t="str">
        <x:v>取下げの具体的原因は公表一覧から確定できず。車両技術不良・事故・企業不祥事等を推定しない。</x:v>
      </x:c>
      <x:c r="O92" s="7" t="str">
        <x:v>契約精算額・返還額は未確認。</x:v>
      </x:c>
      <x:c r="P92" s="7" t="str"/>
      <x:c r="Q92" s="7" t="str"/>
      <x:c r="R92" s="7" t="str">
        <x:v>DIG-C10</x:v>
      </x:c>
      <x:c r="S92" s="7" t="str">
        <x:v>S032
S036</x:v>
      </x:c>
      <x:c r="T92" s="7" t="str">
        <x:v>https://pubpjt.mri.co.jp/pjt_related/rcsad-info/eqghpc000000030i-att/20250729rcsad-info_gaiyou_hiroshima_fukuyama.pdf</x:v>
      </x:c>
      <x:c r="U92" s="7" t="str">
        <x:v>https://pubpjt.mri.co.jp/pjt_related/rcsad-info/index.html</x:v>
      </x:c>
      <x:c r="V92" s="7" t="str">
        <x:v>SRC-d4dcb51510
SRC-dd614f096b</x:v>
      </x:c>
    </x:row>
    <x:row r="93" ht="68.80000305175781" customHeight="1">
      <x:c r="A93" s="7" t="str">
        <x:v>DIG-C11</x:v>
      </x:c>
      <x:c r="B93" s="7" t="str">
        <x:v>チョイソコかりんちゃん</x:v>
      </x:c>
      <x:c r="C93" s="7" t="str">
        <x:v>長野県諏訪市</x:v>
      </x:c>
      <x:c r="D93" s="7" t="str">
        <x:v>2025-10本格運行開始、2026-04週末・増車テスト</x:v>
      </x:c>
      <x:c r="E93" s="18" t="str">
        <x:v>2026-04-01運用案内／2026予算資料</x:v>
      </x:c>
      <x:c r="F93" s="7" t="str">
        <x:v>内閣官房・内閣府地方創生
デジタル庁（基盤・実装支援）
地方自治体
内閣府・総務省・デジタル庁等</x:v>
      </x:c>
      <x:c r="G93" s="7" t="str">
        <x:v>諏訪市
運行事業者</x:v>
      </x:c>
      <x:c r="H93" s="7" t="str">
        <x:v>2024–2026</x:v>
      </x:c>
      <x:c r="I93" s="7" t="str">
        <x:v>DIG-P12</x:v>
      </x:c>
      <x:c r="J93" s="7" t="str"/>
      <x:c r="K93" s="7" t="str">
        <x:v>AIオンデマンド乗合、電話/ネット予約、プリペイド決済。</x:v>
      </x:c>
      <x:c r="L93" s="7" t="str">
        <x:v>2024-10～2025-09テスト、21説明会443参加→2025-10本格運行→2026-04-08から土日祝日・平日増車テスト。</x:v>
      </x:c>
      <x:c r="M93" s="7" t="str">
        <x:v>R6乗車3,813人/目標8,100（47.1%）、Web/アプリ予約1,363/目標4,200（32.5%）、乗合率1.22/目標1.3。外部検証・担当課とも内容改善を選択。導入・本格化は確認、利用改善の継続効果は未確定。</x:v>
      </x:c>
      <x:c r="N93" s="7" t="str">
        <x:v>高齢者の予約抵抗・初回利用障壁、バス再編との連動が重要。免許返納増との因果は外部検証も未確定と指摘。旧PDF404は現行48592.pdfで解消。</x:v>
      </x:c>
      <x:c r="O93" s="7" t="str">
        <x:v>R6実績53,279,249円。計画R6–R8、交付金はR6のみ。管理費・運行費の継続必要性を外部検証が明記。</x:v>
      </x:c>
      <x:c r="P93" s="7" t="str"/>
      <x:c r="Q93" s="7" t="str"/>
      <x:c r="R93" s="7" t="str">
        <x:v>DIG-C11</x:v>
      </x:c>
      <x:c r="S93" s="7" t="str">
        <x:v>S113
S114
S115
S110</x:v>
      </x:c>
      <x:c r="T93" s="7" t="str">
        <x:v>https://www.city.suwa.lg.jp/uploaded/attachment/48592.pdf</x:v>
      </x:c>
      <x:c r="U93" s="7" t="str">
        <x:v>https://www.city.suwa.lg.jp/uploaded/attachment/49474.pdf
https://www.city.suwa.lg.jp/uploaded/attachment/49677.pdf
https://www.city.suwa.lg.jp/site/bus/66256.html</x:v>
      </x:c>
      <x:c r="V93" s="7" t="str">
        <x:v>SRC-5788470ae3
SRC-eb055b1c2a
SRC-9e1ea90bb0
SRC-a0a1581a4c</x:v>
      </x:c>
    </x:row>
    <x:row r="94" ht="68.80000305175781" customHeight="1">
      <x:c r="A94" s="7" t="str">
        <x:v>DIG-C12</x:v>
      </x:c>
      <x:c r="B94" s="7" t="str">
        <x:v>吉備中央町交通DX実装プロジェクト</x:v>
      </x:c>
      <x:c r="C94" s="7" t="str">
        <x:v>岡山県吉備中央町</x:v>
      </x:c>
      <x:c r="D94" s="7" t="str">
        <x:v>一部実装・一部中断</x:v>
      </x:c>
      <x:c r="E94" s="18" t="str">
        <x:v>2025公表R6検証</x:v>
      </x:c>
      <x:c r="F94" s="7" t="str">
        <x:v>内閣官房・内閣府地方創生
デジタル庁（基盤・実装支援）
地方自治体
内閣府・総務省・デジタル庁等</x:v>
      </x:c>
      <x:c r="G94" s="7" t="str">
        <x:v>吉備中央町総務課
交通事業者
MaaSコンソーシアム</x:v>
      </x:c>
      <x:c r="H94" s="7" t="str">
        <x:v>2022–2024年度実績</x:v>
      </x:c>
      <x:c r="I94" s="7" t="str">
        <x:v>DIG-P12</x:v>
      </x:c>
      <x:c r="J94" s="7" t="str"/>
      <x:c r="K94" s="7" t="str">
        <x:v>へそ8バス見える化、デマンドシステム化、コンソ組成。マイクロEV計画を含む。</x:v>
      </x:c>
      <x:c r="L94" s="7" t="str">
        <x:v>バスロケ・デマンドのデジタル化。マイクロEV導入は中断。</x:v>
      </x:c>
      <x:c r="M94" s="7" t="str">
        <x:v>町営交通の町内利用者2,493（R4）→4,249（R5）→7,347（R6）、岡山市への移動316→500→758。対照なしのためDX単独因果は未証明。</x:v>
      </x:c>
      <x:c r="N94" s="7" t="str">
        <x:v>町営利用指標の定義・無料施策・運行供給量変化は追加確認。EV中断原因は本資料から不明。</x:v>
      </x:c>
      <x:c r="O94" s="7" t="str">
        <x:v>交付対象事業費49,900,000円（国44,910,000円、町4,990,000円）。</x:v>
      </x:c>
      <x:c r="P94" s="7" t="str"/>
      <x:c r="Q94" s="7" t="str"/>
      <x:c r="R94" s="7" t="str">
        <x:v>DIG-C12</x:v>
      </x:c>
      <x:c r="S94" s="7" t="str">
        <x:v>S323</x:v>
      </x:c>
      <x:c r="T94" s="7" t="str">
        <x:v>https://www.town.kibichuo.lg.jp/uploaded/attachment/12092.pdf</x:v>
      </x:c>
      <x:c r="U94" s="7" t="str"/>
      <x:c r="V94" s="7" t="str">
        <x:v>SRC-01a2148fd1</x:v>
      </x:c>
    </x:row>
    <x:row r="95" ht="97.19999694824219" customHeight="1">
      <x:c r="A95" s="7" t="str">
        <x:v>DIG-C13</x:v>
      </x:c>
      <x:c r="B95" s="7" t="str">
        <x:v>先端技術を活用したモビリティ社会実現プロジェクト</x:v>
      </x:c>
      <x:c r="C95" s="7" t="str">
        <x:v>愛知県</x:v>
      </x:c>
      <x:c r="D95" s="7" t="str">
        <x:v>複数サービス継続・自立運営移行（一部除く）</x:v>
      </x:c>
      <x:c r="E95" s="18" t="str">
        <x:v>2025公表R5検証</x:v>
      </x:c>
      <x:c r="F95" s="7" t="str">
        <x:v>内閣官房・内閣府地方創生
デジタル庁（基盤・実装支援）
地方自治体
内閣府地方創生
関係府省
内閣府・総務省・デジタル庁等</x:v>
      </x:c>
      <x:c r="G95" s="7" t="str">
        <x:v>愛知県
トヨタファイナンシャルサービス
豊田都市交通研究所
NTTドコモ等</x:v>
      </x:c>
      <x:c r="H95" s="7" t="str">
        <x:v>2021–2025計画／2023実績</x:v>
      </x:c>
      <x:c r="I95" s="7" t="str">
        <x:v>DIG-P12
DIG-P05</x:v>
      </x:c>
      <x:c r="J95" s="7" t="str"/>
      <x:c r="K95" s="7" t="str">
        <x:v>MaaS運営・モデル路線分析・自動運転定期運行・企業連携。</x:v>
      </x:c>
      <x:c r="L95" s="7" t="str">
        <x:v>my route基本機能を継続、導入サービスの一部を除き事業者自立運営に移行。</x:v>
      </x:c>
      <x:c r="M95" s="7" t="str">
        <x:v>サービス継続は確認するが需要・収支の個別数値は本資料では未確定。</x:v>
      </x:c>
      <x:c r="N95" s="7" t="str">
        <x:v>車速、信号認識、右左折・車線変更の高度化が課題。県の複数地域/複数支援を独立実装件数へ機械加算しない。</x:v>
      </x:c>
      <x:c r="O95" s="7" t="str">
        <x:v>R5事業費実績185,491,800円（うちMaaS運営手法51,988,970円、自動運転実証123,528,270円等）。</x:v>
      </x:c>
      <x:c r="P95" s="7" t="str"/>
      <x:c r="Q95" s="7" t="str"/>
      <x:c r="R95" s="7" t="str">
        <x:v>DIG-C13</x:v>
      </x:c>
      <x:c r="S95" s="7" t="str">
        <x:v>S302</x:v>
      </x:c>
      <x:c r="T95" s="7" t="str">
        <x:v>https://www.pref.aichi.jp/uploaded/attachment/542336.pdf</x:v>
      </x:c>
      <x:c r="U95" s="7" t="str"/>
      <x:c r="V95" s="7" t="str">
        <x:v>SRC-1e17f2bc65</x:v>
      </x:c>
    </x:row>
    <x:row r="96" ht="97.19999694824219" customHeight="1">
      <x:c r="A96" s="7" t="str">
        <x:v>DIG-C14</x:v>
      </x:c>
      <x:c r="B96" s="7" t="str">
        <x:v>高蔵寺ニュータウン・モビリティハブ</x:v>
      </x:c>
      <x:c r="C96" s="7" t="str">
        <x:v>愛知県春日井市</x:v>
      </x:c>
      <x:c r="D96" s="7" t="str">
        <x:v>実証・実装モデル構築中</x:v>
      </x:c>
      <x:c r="E96" s="18" t="str">
        <x:v>FY2025報告</x:v>
      </x:c>
      <x:c r="F96" s="7" t="str">
        <x:v>内閣府CSTI
NEDO
経済産業省
内閣府・総務省・デジタル庁等</x:v>
      </x:c>
      <x:c r="G96" s="7" t="str">
        <x:v>名古屋大学
春日井市
愛知県
地域事業者
大日本印刷
名古屋鉄道</x:v>
      </x:c>
      <x:c r="H96" s="7" t="str">
        <x:v>2023–2025</x:v>
      </x:c>
      <x:c r="I96" s="7" t="str">
        <x:v>DIG-P04</x:v>
      </x:c>
      <x:c r="J96" s="7" t="str"/>
      <x:c r="K96" s="7" t="str">
        <x:v>病院・商業施設・駅のハブにデマンド交通、シェアバイク、路線バス情報を結節。</x:v>
      </x:c>
      <x:c r="L96" s="7" t="str">
        <x:v>R4実証5箇所33日→R5実証6箇所137日（途中で病院2箇所除外）。</x:v>
      </x:c>
      <x:c r="M96" s="7" t="str">
        <x:v>ハブと交通サービス/費用負担を組み合わせる検証。持続収支や外出増の確定効果は未抽出。</x:v>
      </x:c>
      <x:c r="N96" s="7" t="str">
        <x:v>同じハブに国交省MaaS/スマートシティ、愛知県、SIP、民間自己投資が重なるため別事業として件数を加算しない。病院2箇所の対象除外理由は未確認で「撤退」と断定しない。</x:v>
      </x:c>
      <x:c r="O96" s="7" t="str">
        <x:v>当該確認資料では総費用・補助終了後の運営費負担を確定できず。</x:v>
      </x:c>
      <x:c r="P96" s="7" t="str"/>
      <x:c r="Q96" s="7" t="str"/>
      <x:c r="R96" s="7" t="str">
        <x:v>DIG-C14</x:v>
      </x:c>
      <x:c r="S96" s="7" t="str">
        <x:v>S047</x:v>
      </x:c>
      <x:c r="T96" s="7" t="str">
        <x:v>https://sip3.nedo.go.jp/smartmobility/upload/docs/fff151fc3abc36822d34b4009cbc88f664668456.pdf</x:v>
      </x:c>
      <x:c r="U96" s="7" t="str"/>
      <x:c r="V96" s="7" t="str">
        <x:v>SRC-2441cac973</x:v>
      </x:c>
    </x:row>
    <x:row r="97" ht="68.80000305175781" customHeight="1">
      <x:c r="A97" s="7" t="str">
        <x:v>DIG-C15</x:v>
      </x:c>
      <x:c r="B97" s="7" t="str">
        <x:v>西尾市のデジタチ・モビリティハブ・生活道路対策</x:v>
      </x:c>
      <x:c r="C97" s="7" t="str">
        <x:v>愛知県西尾市吉良・幡豆地区</x:v>
      </x:c>
      <x:c r="D97" s="7" t="str">
        <x:v>2026-04社会実装を研究報告が記述、市現行運用との照合は未確定</x:v>
      </x:c>
      <x:c r="E97" s="18" t="str">
        <x:v>FY2025報告</x:v>
      </x:c>
      <x:c r="F97" s="7" t="str">
        <x:v>内閣府CSTI
NEDO
経済産業省
内閣府・総務省・デジタル庁等</x:v>
      </x:c>
      <x:c r="G97" s="7" t="str">
        <x:v>名古屋大学
西尾市
名古屋鉄道
地域事業者</x:v>
      </x:c>
      <x:c r="H97" s="7" t="str">
        <x:v>2024–2026</x:v>
      </x:c>
      <x:c r="I97" s="7" t="str">
        <x:v>DIG-P04</x:v>
      </x:c>
      <x:c r="J97" s="7" t="str"/>
      <x:c r="K97" s="7" t="str">
        <x:v>QR型利用チケット認証、鉄道への接続、ハブ、LiDAR駐車誘導。</x:v>
      </x:c>
      <x:c r="L97" s="7" t="str">
        <x:v>デジタチ2025-01地域実証→同10月全市実証、2026-04社会実装と報告。東幡豆駅ハブ2025-03整備。</x:v>
      </x:c>
      <x:c r="M97" s="7" t="str">
        <x:v>利用者・運営者・行政の決済/事務DX。駐車情報表示時に臨時駐車場利用増を検証。</x:v>
      </x:c>
      <x:c r="N97" s="7" t="str">
        <x:v>報告内で2026-04実装を記述するが別の市公式現況で再確認要。無料乗車キャンペーンの増加を恒久需要増とみなさない。</x:v>
      </x:c>
      <x:c r="O97" s="7" t="str">
        <x:v>自治体実装予算化の記述あり、総事業費・運営費は未抽出。</x:v>
      </x:c>
      <x:c r="P97" s="7" t="str"/>
      <x:c r="Q97" s="7" t="str"/>
      <x:c r="R97" s="7" t="str">
        <x:v>DIG-C15</x:v>
      </x:c>
      <x:c r="S97" s="7" t="str">
        <x:v>S047
S094</x:v>
      </x:c>
      <x:c r="T97" s="7" t="str">
        <x:v>https://sip3.nedo.go.jp/smartmobility/upload/docs/fff151fc3abc36822d34b4009cbc88f664668456.pdf</x:v>
      </x:c>
      <x:c r="U97" s="7" t="str">
        <x:v>https://www.city.nishio.aichi.jp/kenkofukushi/kourei/1001451/1002501.html</x:v>
      </x:c>
      <x:c r="V97" s="7" t="str">
        <x:v>SRC-2441cac973
SRC-240fd47012</x:v>
      </x:c>
    </x:row>
    <x:row r="98" ht="83" customHeight="1">
      <x:c r="A98" s="7" t="str">
        <x:v>DIG-C16</x:v>
      </x:c>
      <x:c r="B98" s="7" t="str">
        <x:v>養父市関宮：小さな拠点＋デマンド交通再編</x:v>
      </x:c>
      <x:c r="C98" s="7" t="str">
        <x:v>兵庫県養父市関宮地域</x:v>
      </x:c>
      <x:c r="D98" s="7" t="str">
        <x:v>段階実証・実装設計中</x:v>
      </x:c>
      <x:c r="E98" s="18" t="str">
        <x:v>2026-03</x:v>
      </x:c>
      <x:c r="F98" s="7" t="str">
        <x:v>内閣府CSTI
NEDO
経済産業省
内閣府・総務省・デジタル庁等</x:v>
      </x:c>
      <x:c r="G98" s="7" t="str">
        <x:v>日本自動車研究所
養父市
但馬を結んで育つ会
全但タクシー
自治協議会・社協・学校</x:v>
      </x:c>
      <x:c r="H98" s="7" t="str">
        <x:v>2023–2026</x:v>
      </x:c>
      <x:c r="I98" s="7" t="str">
        <x:v>DIG-P04</x:v>
      </x:c>
      <x:c r="J98" s="7" t="str"/>
      <x:c r="K98" s="7" t="str">
        <x:v>住民と拠点/乗降場を協議、LINE→予約運行管理導入、福祉/教育需要を束ねる。</x:v>
      </x:c>
      <x:c r="L98" s="7" t="str">
        <x:v>2025-11-08～2026-01-18の36運行日、2台、177利用・ユニーク40人。うち自治協代理予約40。</x:v>
      </x:c>
      <x:c r="M98" s="7" t="str">
        <x:v>利用者満足以上96%（回答者対象）。代理予約による利用支援。継続的な健康/収支改善は未検証。</x:v>
      </x:c>
      <x:c r="N98" s="7" t="str">
        <x:v>小標本・自己選択。料金、輸送力、冬季安全、バス再編・通学連携は次年度検討課題。</x:v>
      </x:c>
      <x:c r="O98" s="7" t="str">
        <x:v>当該確認資料では総費用・補助終了後の運営費負担を確定できず。</x:v>
      </x:c>
      <x:c r="P98" s="7" t="str"/>
      <x:c r="Q98" s="7" t="str"/>
      <x:c r="R98" s="7" t="str">
        <x:v>DIG-C16</x:v>
      </x:c>
      <x:c r="S98" s="7" t="str">
        <x:v>S045</x:v>
      </x:c>
      <x:c r="T98" s="7" t="str">
        <x:v>https://sip3.nedo.go.jp/smartmobility/upload/docs/7650a0e5fb857f859b853f1d600af61154d13e30.pdf</x:v>
      </x:c>
      <x:c r="U98" s="7" t="str"/>
      <x:c r="V98" s="7" t="str">
        <x:v>SRC-f420e4751a</x:v>
      </x:c>
    </x:row>
    <x:row r="99" ht="68.80000305175781" customHeight="1">
      <x:c r="A99" s="7" t="str">
        <x:v>DIG-C17</x:v>
      </x:c>
      <x:c r="B99" s="7" t="str">
        <x:v>仁淀川町：外出目的創出とくるりんバス</x:v>
      </x:c>
      <x:c r="C99" s="7" t="str">
        <x:v>高知県仁淀川町</x:v>
      </x:c>
      <x:c r="D99" s="7" t="str">
        <x:v>調査走行・福祉効果研究中</x:v>
      </x:c>
      <x:c r="E99" s="18" t="str">
        <x:v>2026-03</x:v>
      </x:c>
      <x:c r="F99" s="7" t="str">
        <x:v>内閣府CSTI
NEDO
経済産業省
内閣府・総務省・デジタル庁等</x:v>
      </x:c>
      <x:c r="G99" s="7" t="str">
        <x:v>日本自動車研究所
仁淀川町
フレイルサポート仁淀川
地域タクシー等</x:v>
      </x:c>
      <x:c r="H99" s="7" t="str">
        <x:v>2023–2026</x:v>
      </x:c>
      <x:c r="I99" s="7" t="str">
        <x:v>DIG-P04</x:v>
      </x:c>
      <x:c r="J99" s="7" t="str"/>
      <x:c r="K99" s="7" t="str">
        <x:v>フレイル予防活動/買物/飲食などの行先と移動支援を一体化、夜間便とタクシー接続。</x:v>
      </x:c>
      <x:c r="L99" s="7" t="str">
        <x:v>春の調査走行168運行、71人・468利用、冬は延べ378人と報告。</x:v>
      </x:c>
      <x:c r="M99" s="7" t="str">
        <x:v>移動目的と公共交通をつなぐ運用知見。介護医療費削減や健康因果は未確定。</x:v>
      </x:c>
      <x:c r="N99" s="7" t="str">
        <x:v>冬の申込386・キャンセル9・利用378は算術不一致（386−9=377）。延べ378を原資料記載値として留保。冬のタクシー等分析はデータ待ち。</x:v>
      </x:c>
      <x:c r="O99" s="7" t="str">
        <x:v>背景R5：利用1人当たり公費は町民バス5,755円、コミュニティバス4,683円。新実証の費用対効果ではない。</x:v>
      </x:c>
      <x:c r="P99" s="7" t="str"/>
      <x:c r="Q99" s="7" t="str"/>
      <x:c r="R99" s="7" t="str">
        <x:v>DIG-C17</x:v>
      </x:c>
      <x:c r="S99" s="7" t="str">
        <x:v>S045</x:v>
      </x:c>
      <x:c r="T99" s="7" t="str">
        <x:v>https://sip3.nedo.go.jp/smartmobility/upload/docs/7650a0e5fb857f859b853f1d600af61154d13e30.pdf</x:v>
      </x:c>
      <x:c r="U99" s="7" t="str"/>
      <x:c r="V99" s="7" t="str">
        <x:v>SRC-f420e4751a</x:v>
      </x:c>
    </x:row>
    <x:row r="100" ht="97.19999694824219" customHeight="1">
      <x:c r="A100" s="7" t="str">
        <x:v>DIG-C18</x:v>
      </x:c>
      <x:c r="B100" s="7" t="str">
        <x:v>東広島市の15分都市・地域モビリティ診断</x:v>
      </x:c>
      <x:c r="C100" s="7" t="str">
        <x:v>広島県東広島市（呉・庄原と連携）</x:v>
      </x:c>
      <x:c r="D100" s="7" t="str">
        <x:v>研究開発・住民協議段階</x:v>
      </x:c>
      <x:c r="E100" s="18" t="str">
        <x:v>FY2025報告</x:v>
      </x:c>
      <x:c r="F100" s="7" t="str">
        <x:v>内閣府CSTI
NEDO
経済産業省
内閣府・総務省・デジタル庁等</x:v>
      </x:c>
      <x:c r="G100" s="7" t="str">
        <x:v>広島大学
バイタルリード
パシフィックコンサルタンツ
広島県警
東広島市
JR西日本等</x:v>
      </x:c>
      <x:c r="H100" s="7" t="str">
        <x:v>2023–2026</x:v>
      </x:c>
      <x:c r="I100" s="7" t="str">
        <x:v>DIG-P04</x:v>
      </x:c>
      <x:c r="J100" s="7" t="str"/>
      <x:c r="K100" s="7" t="str">
        <x:v>資源ダッシュボード、まちぐるみシミュレータ、デジタルツイン、公共交通優先インフラ、住民/事業者対話。</x:v>
      </x:c>
      <x:c r="L100" s="7" t="str">
        <x:v>プロトタイプ・地域診断ガイド・実験仕様・ワークショップ。</x:v>
      </x:c>
      <x:c r="M100" s="7" t="str">
        <x:v>合意形成や分析の支援。15分到達の住民比率・移動/健康便益・財政削減の確定値は未取得。</x:v>
      </x:c>
      <x:c r="N100" s="7" t="str">
        <x:v>コンソ成果表のFY2027アウトカムを実績にしない。PDF表紙2025-03と本文2026-01記述が不整合。</x:v>
      </x:c>
      <x:c r="O100" s="7" t="str">
        <x:v>当該確認資料では総費用・補助終了後の運営費負担を確定できず。</x:v>
      </x:c>
      <x:c r="P100" s="7" t="str"/>
      <x:c r="Q100" s="7" t="str"/>
      <x:c r="R100" s="7" t="str">
        <x:v>DIG-C18</x:v>
      </x:c>
      <x:c r="S100" s="7" t="str">
        <x:v>S046
S044</x:v>
      </x:c>
      <x:c r="T100" s="7" t="str">
        <x:v>https://sip3.nedo.go.jp/smartmobility/upload/docs/c145794ffd601929b62e99c486e5da33d78a0f47.pdf</x:v>
      </x:c>
      <x:c r="U100" s="7" t="str">
        <x:v>https://sip3.nedo.go.jp/smartmobility/theme/index.html</x:v>
      </x:c>
      <x:c r="V100" s="7" t="str">
        <x:v>SRC-856396d4df
SRC-19aba14d34</x:v>
      </x:c>
    </x:row>
    <x:row r="101" ht="125.5999984741211" customHeight="1">
      <x:c r="A101" s="7" t="str">
        <x:v>DIG-C19</x:v>
      </x:c>
      <x:c r="B101" s="7" t="str">
        <x:v>日立市大甕駅周辺・自動運転サービス支援道</x:v>
      </x:c>
      <x:c r="C101" s="7" t="str">
        <x:v>茨城県日立市</x:v>
      </x:c>
      <x:c r="D101" s="7" t="str">
        <x:v>先行実証完了・地域支援選定</x:v>
      </x:c>
      <x:c r="E101" s="18" t="n">
        <x:v>46087</x:v>
      </x:c>
      <x:c r="F101" s="7" t="str">
        <x:v>経済産業省
NEDO
IPA DADC
デジタル庁・デジタル行財政改革会議
デジタル庁
関係府省庁
地方自治体
内閣府・総務省・デジタル庁等</x:v>
      </x:c>
      <x:c r="G101" s="7" t="str">
        <x:v>経済産業省
NEDO
IPA DADC
日立市
車両/インフラ事業者</x:v>
      </x:c>
      <x:c r="H101" s="7" t="str">
        <x:v>2024–2026</x:v>
      </x:c>
      <x:c r="I101" s="7" t="str">
        <x:v>DIG-P16
DIG-P11</x:v>
      </x:c>
      <x:c r="J101" s="7" t="str"/>
      <x:c r="K101" s="7" t="str">
        <x:v>一般道の路車協調・環境情報連携を面的自動運転実装へ接続。</x:v>
      </x:c>
      <x:c r="L101" s="7" t="str">
        <x:v>2024年度に課題検証、実験用要求/インターフェース仕様・参照システムを公開。</x:v>
      </x:c>
      <x:c r="M101" s="7" t="str">
        <x:v>サービス支援道の技術・走行環境要件整理。事業化後の運用費/便益は本証拠では不明。</x:v>
      </x:c>
      <x:c r="N101" s="7" t="str">
        <x:v>ひたちBRT専用道L4運行と駅周辺一般道の支援道実証は別スコープ。国交省・経産省担当の同地域事例と重複リンクする。</x:v>
      </x:c>
      <x:c r="O101" s="7" t="str">
        <x:v>当該確認資料では総費用・補助終了後の運営費負担を確定できず。</x:v>
      </x:c>
      <x:c r="P101" s="7" t="str"/>
      <x:c r="Q101" s="7" t="str"/>
      <x:c r="R101" s="7" t="str">
        <x:v>DIG-C19</x:v>
      </x:c>
      <x:c r="S101" s="7" t="str">
        <x:v>S205
S142
S204
S036</x:v>
      </x:c>
      <x:c r="T101" s="7" t="str">
        <x:v>https://www.meti.go.jp/policy/mono_info_service/digital_architecture/lifeline/jitugen2-siryou3.pdf</x:v>
      </x:c>
      <x:c r="U101" s="7" t="str">
        <x:v>https://www.digital.go.jp/policies/mobility/a71c2b0b-0506-43de-b7f8-2cb20172752a
https://www.meti.go.jp/policy/mono_info_service/digital_architecture/keikaku.pdf
https://pubpjt.mri.co.jp/pjt_related/rcsad-info/index.html</x:v>
      </x:c>
      <x:c r="V101" s="7" t="str">
        <x:v>SRC-27f9707c1a
SRC-91022ef486
SRC-e6fc31a150
SRC-dd614f096b</x:v>
      </x:c>
    </x:row>
    <x:row r="102" ht="30" customHeight="1">
      <x:c r="A102" s="7" t="str">
        <x:v>OTHER-C01</x:v>
      </x:c>
      <x:c r="B102" s="7" t="str">
        <x:v>加子母の広報と生活支援 配達</x:v>
      </x:c>
      <x:c r="C102" s="7" t="str">
        <x:v>岐阜県中津川市</x:v>
      </x:c>
      <x:c r="D102" s="7" t="str">
        <x:v>報告時稼働</x:v>
      </x:c>
      <x:c r="E102" s="18" t="n">
        <x:v>45167</x:v>
      </x:c>
      <x:c r="F102" s="7" t="str">
        <x:v>その他府省・横断</x:v>
      </x:c>
      <x:c r="G102" s="7" t="str">
        <x:v>NPOかしもむら 地域事業者</x:v>
      </x:c>
      <x:c r="H102" s="7" t="str">
        <x:v>2016–2023確認</x:v>
      </x:c>
      <x:c r="I102" s="7" t="str"/>
      <x:c r="J102" s="7" t="str">
        <x:v>総務省集落ネットワーク関連支援 農水省セミナー掲載</x:v>
      </x:c>
      <x:c r="K102" s="7" t="str">
        <x:v>テレビ端末の注文と地元店の配達。人が移動する代替として物を運ぶ。</x:v>
      </x:c>
      <x:c r="L102" s="7" t="str">
        <x:v>2019年買物システム開始、資料時点1日2便</x:v>
      </x:c>
      <x:c r="M102" s="7" t="str">
        <x:v>移動困難者の購買アクセスを支える設計</x:v>
      </x:c>
      <x:c r="N102" s="7" t="str">
        <x:v>利用・利益・2026年継続未検証。農水省が自ら採択した交通実証と扱わない。</x:v>
      </x:c>
      <x:c r="O102" s="7" t="str">
        <x:v>確認資料で総費用未確認</x:v>
      </x:c>
      <x:c r="P102" s="7" t="str"/>
      <x:c r="Q102" s="7" t="str"/>
      <x:c r="R102" s="7" t="str">
        <x:v>OTHER-C01</x:v>
      </x:c>
      <x:c r="S102" s="7" t="str">
        <x:v>S199</x:v>
      </x:c>
      <x:c r="T102" s="7" t="str">
        <x:v>https://www.maff.go.jp/j/nousin/digikatsu/attach/pdf/index-47.pdf</x:v>
      </x:c>
      <x:c r="U102" s="7" t="str"/>
      <x:c r="V102" s="7" t="str">
        <x:v>SRC-11b5defcfd</x:v>
      </x:c>
    </x:row>
    <x:row r="103" ht="40.400001525878906" customHeight="1">
      <x:c r="A103" s="7" t="str">
        <x:v>OTHER-C02</x:v>
      </x:c>
      <x:c r="B103" s="7" t="str">
        <x:v>阿東地域 トイトイ地域生活拠点</x:v>
      </x:c>
      <x:c r="C103" s="7" t="str">
        <x:v>山口県山口市阿東</x:v>
      </x:c>
      <x:c r="D103" s="7" t="str">
        <x:v>紹介資料で取組確認</x:v>
      </x:c>
      <x:c r="E103" s="18" t="n">
        <x:v>45167</x:v>
      </x:c>
      <x:c r="F103" s="7" t="str">
        <x:v>その他府省・横断</x:v>
      </x:c>
      <x:c r="G103" s="7" t="str">
        <x:v>NPOほほえみの郷トイトイ アイシン 地元IT事業者 山口大学</x:v>
      </x:c>
      <x:c r="H103" s="7" t="str">
        <x:v>2022–2023確認</x:v>
      </x:c>
      <x:c r="I103" s="7" t="str"/>
      <x:c r="J103" s="7" t="str">
        <x:v>デジ活セミナー紹介事例</x:v>
      </x:c>
      <x:c r="K103" s="7" t="str">
        <x:v>生活拠点、地域モビリティ、野菜集荷、情報伝達を束ねる</x:v>
      </x:c>
      <x:c r="L103" s="7" t="str">
        <x:v>2022年度地域リデザインプロジェクト開始</x:v>
      </x:c>
      <x:c r="M103" s="7" t="str">
        <x:v>生活機能を複合して支える活動</x:v>
      </x:c>
      <x:c r="N103" s="7" t="str">
        <x:v>交通の利用数・収支・2026継続未検証。2012開始は対象期間前史。</x:v>
      </x:c>
      <x:c r="O103" s="7" t="str">
        <x:v>確認資料で総費用未確認</x:v>
      </x:c>
      <x:c r="P103" s="7" t="str"/>
      <x:c r="Q103" s="7" t="str"/>
      <x:c r="R103" s="7" t="str">
        <x:v>OTHER-C02</x:v>
      </x:c>
      <x:c r="S103" s="7" t="str">
        <x:v>S200</x:v>
      </x:c>
      <x:c r="T103" s="7" t="str">
        <x:v>https://www.maff.go.jp/j/nousin/digikatsu/attach/pdf/index-48.pdf</x:v>
      </x:c>
      <x:c r="U103" s="7" t="str"/>
      <x:c r="V103" s="7" t="str">
        <x:v>SRC-c0a5f9cabe</x:v>
      </x:c>
    </x:row>
    <x:row r="104" ht="30" customHeight="1">
      <x:c r="A104" s="7" t="str">
        <x:v>OTHER-C03</x:v>
      </x:c>
      <x:c r="B104" s="7" t="str">
        <x:v>秦野市 訪問型移動支援サービスD</x:v>
      </x:c>
      <x:c r="C104" s="7" t="str">
        <x:v>神奈川県秦野市</x:v>
      </x:c>
      <x:c r="D104" s="7" t="str">
        <x:v>2026年制度案内あり</x:v>
      </x:c>
      <x:c r="E104" s="18" t="n">
        <x:v>46224</x:v>
      </x:c>
      <x:c r="F104" s="7" t="str">
        <x:v>その他府省・横断</x:v>
      </x:c>
      <x:c r="G104" s="7" t="str">
        <x:v>市 社会福祉法人 NPO</x:v>
      </x:c>
      <x:c r="H104" s="7" t="str">
        <x:v>2016–2026制度掲載</x:v>
      </x:c>
      <x:c r="I104" s="7" t="str"/>
      <x:c r="J104" s="7" t="str">
        <x:v>総合事業</x:v>
      </x:c>
      <x:c r="K104" s="7" t="str">
        <x:v>通所型B利用者のうち送迎必要な要支援者等への送迎</x:v>
      </x:c>
      <x:c r="L104" s="7" t="str">
        <x:v>対象者と補助事業者の案内を確認</x:v>
      </x:c>
      <x:c r="M104" s="7" t="str">
        <x:v>外出機会確保を目的とする</x:v>
      </x:c>
      <x:c r="N104" s="7" t="str">
        <x:v>実運行回数・成果未検証。全住民対象デマンド交通とは別。</x:v>
      </x:c>
      <x:c r="O104" s="7" t="str">
        <x:v>確認資料で総費用未確認</x:v>
      </x:c>
      <x:c r="P104" s="7" t="str"/>
      <x:c r="Q104" s="7" t="str"/>
      <x:c r="R104" s="7" t="str">
        <x:v>OTHER-C03</x:v>
      </x:c>
      <x:c r="S104" s="7" t="str">
        <x:v>S305</x:v>
      </x:c>
      <x:c r="T104" s="7" t="str">
        <x:v>https://www.pref.kanagawa.jp/docs/u6s/cnt/f536479/p1137761.html</x:v>
      </x:c>
      <x:c r="U104" s="7" t="str"/>
      <x:c r="V104" s="7" t="str">
        <x:v>SRC-2db3be579b</x:v>
      </x:c>
    </x:row>
    <x:row r="105" ht="30" customHeight="1">
      <x:c r="A105" s="7" t="str">
        <x:v>OTHER-C04</x:v>
      </x:c>
      <x:c r="B105" s="7" t="str">
        <x:v>大館市 ひないホッとライフ</x:v>
      </x:c>
      <x:c r="C105" s="7" t="str">
        <x:v>秋田県大館市</x:v>
      </x:c>
      <x:c r="D105" s="7" t="str">
        <x:v>事例報告あり</x:v>
      </x:c>
      <x:c r="E105" s="18" t="str">
        <x:v>2023年度実績</x:v>
      </x:c>
      <x:c r="F105" s="7" t="str">
        <x:v>その他府省・横断</x:v>
      </x:c>
      <x:c r="G105" s="7" t="str">
        <x:v>市 住民 支援者</x:v>
      </x:c>
      <x:c r="H105" s="7" t="str">
        <x:v>2023年度資料を2026年再掲</x:v>
      </x:c>
      <x:c r="I105" s="7" t="str"/>
      <x:c r="J105" s="7" t="str">
        <x:v>訪問型サービスB</x:v>
      </x:c>
      <x:c r="K105" s="7" t="str">
        <x:v>自家用車で買物代行し玄関や冷蔵庫まで支援</x:v>
      </x:c>
      <x:c r="L105" s="7" t="str">
        <x:v>市内1か所を他圏域へ広げる協議</x:v>
      </x:c>
      <x:c r="M105" s="7" t="str">
        <x:v>移動と購買後の生活支援を接続</x:v>
      </x:c>
      <x:c r="N105" s="7" t="str">
        <x:v>全7圏域への展開は目標。2026年全域展開済と断定不可。</x:v>
      </x:c>
      <x:c r="O105" s="7" t="str">
        <x:v>確認資料で総費用未確認</x:v>
      </x:c>
      <x:c r="P105" s="7" t="str"/>
      <x:c r="Q105" s="7" t="str"/>
      <x:c r="R105" s="7" t="str">
        <x:v>OTHER-C04</x:v>
      </x:c>
      <x:c r="S105" s="7" t="str">
        <x:v>S339</x:v>
      </x:c>
      <x:c r="T105" s="7" t="str">
        <x:v>https://wwwtb.mlit.go.jp/kanto/content/000378309.pdf</x:v>
      </x:c>
      <x:c r="U105" s="7" t="str"/>
      <x:c r="V105" s="7" t="str">
        <x:v>SRC-ade126a9f0</x:v>
      </x:c>
    </x:row>
    <x:row r="106" ht="30" customHeight="1">
      <x:c r="A106" s="7" t="str">
        <x:v>OTHER-C05</x:v>
      </x:c>
      <x:c r="B106" s="7" t="str">
        <x:v>名張市 隠おたがいさん等生活支援</x:v>
      </x:c>
      <x:c r="C106" s="7" t="str">
        <x:v>三重県名張市</x:v>
      </x:c>
      <x:c r="D106" s="7" t="str">
        <x:v>事例報告あり</x:v>
      </x:c>
      <x:c r="E106" s="18" t="str">
        <x:v>資料基礎2023年度</x:v>
      </x:c>
      <x:c r="F106" s="7" t="str">
        <x:v>その他府省・横断</x:v>
      </x:c>
      <x:c r="G106" s="7" t="str">
        <x:v>地域団体 市 有償ボランティア</x:v>
      </x:c>
      <x:c r="H106" s="7" t="str">
        <x:v>2023年度資料を2026年再掲</x:v>
      </x:c>
      <x:c r="I106" s="7" t="str"/>
      <x:c r="J106" s="7" t="str">
        <x:v>訪問型サービスB</x:v>
      </x:c>
      <x:c r="K106" s="7" t="str">
        <x:v>通院・買物等の移動を生活支援と一体提供</x:v>
      </x:c>
      <x:c r="L106" s="7" t="str">
        <x:v>市内11地域の生活支援を紹介</x:v>
      </x:c>
      <x:c r="M106" s="7" t="str">
        <x:v>住民間支援の体制を確認</x:v>
      </x:c>
      <x:c r="N106" s="7" t="str">
        <x:v>運賃事業との制度境界、無償労働・負担集中・安全の検証が必要。成果量未確認。</x:v>
      </x:c>
      <x:c r="O106" s="7" t="str">
        <x:v>確認資料で総費用未確認</x:v>
      </x:c>
      <x:c r="P106" s="7" t="str"/>
      <x:c r="Q106" s="7" t="str"/>
      <x:c r="R106" s="7" t="str">
        <x:v>OTHER-C05</x:v>
      </x:c>
      <x:c r="S106" s="7" t="str">
        <x:v>S339</x:v>
      </x:c>
      <x:c r="T106" s="7" t="str">
        <x:v>https://wwwtb.mlit.go.jp/kanto/content/000378309.pdf</x:v>
      </x:c>
      <x:c r="U106" s="7" t="str"/>
      <x:c r="V106" s="7" t="str">
        <x:v>SRC-ade126a9f0</x:v>
      </x:c>
    </x:row>
    <x:row r="107" ht="30" customHeight="1">
      <x:c r="A107" s="7" t="str">
        <x:v>OTHER-C06</x:v>
      </x:c>
      <x:c r="B107" s="7" t="str">
        <x:v>岐阜高速バス 農産物貨客混載</x:v>
      </x:c>
      <x:c r="C107" s="7" t="str">
        <x:v>岐阜県と名古屋市</x:v>
      </x:c>
      <x:c r="D107" s="7" t="str">
        <x:v>実験開始告知</x:v>
      </x:c>
      <x:c r="E107" s="18" t="n">
        <x:v>46189</x:v>
      </x:c>
      <x:c r="F107" s="7" t="str">
        <x:v>その他府省・横断</x:v>
      </x:c>
      <x:c r="G107" s="7" t="str">
        <x:v>岐阜県 岐阜バス ギフツプレミアム</x:v>
      </x:c>
      <x:c r="H107" s="7" t="str">
        <x:v>2026</x:v>
      </x:c>
      <x:c r="I107" s="7" t="str"/>
      <x:c r="J107" s="7" t="str">
        <x:v>県農産物流通施策 国採択未確認</x:v>
      </x:c>
      <x:c r="K107" s="7" t="str">
        <x:v>既存高速バスを農産物輸送に利用</x:v>
      </x:c>
      <x:c r="L107" s="7" t="str">
        <x:v>6月26日開始予定を公式発表</x:v>
      </x:c>
      <x:c r="M107" s="7" t="str">
        <x:v>販路拡大を目的、成果未確認</x:v>
      </x:c>
      <x:c r="N107" s="7" t="str">
        <x:v>地域単独の補完事例。国費事業の採択と断定しない。</x:v>
      </x:c>
      <x:c r="O107" s="7" t="str">
        <x:v>確認資料で総費用未確認</x:v>
      </x:c>
      <x:c r="P107" s="7" t="str"/>
      <x:c r="Q107" s="7" t="str"/>
      <x:c r="R107" s="7" t="str">
        <x:v>OTHER-C06</x:v>
      </x:c>
      <x:c r="S107" s="7" t="str">
        <x:v>S303</x:v>
      </x:c>
      <x:c r="T107" s="7" t="str">
        <x:v>https://www.pref.gifu.lg.jp/site/pressrelease/503328.html</x:v>
      </x:c>
      <x:c r="U107" s="7" t="str"/>
      <x:c r="V107" s="7" t="str">
        <x:v>SRC-de4ed058b3</x:v>
      </x:c>
    </x:row>
    <x:row r="108" ht="40.400001525878906" customHeight="1">
      <x:c r="A108" s="7" t="str">
        <x:v>V-C02</x:v>
      </x:c>
      <x:c r="B108" s="7" t="str">
        <x:v>境町自動運転バス</x:v>
      </x:c>
      <x:c r="C108" s="7" t="str">
        <x:v>茨城県境町</x:v>
      </x:c>
      <x:c r="D108" s="7" t="str">
        <x:v>自動運転車休止／移動サービスは代替継続</x:v>
      </x:c>
      <x:c r="E108" s="18" t="str">
        <x:v>2026-10-31閲覧</x:v>
      </x:c>
      <x:c r="F108" s="7" t="str">
        <x:v>横断検証（個別所管は資料参照）</x:v>
      </x:c>
      <x:c r="G108" s="7" t="str"/>
      <x:c r="H108" s="7" t="str">
        <x:v>2020-11-26開始／休止と普通車代替の開始日は不明</x:v>
      </x:c>
      <x:c r="I108" s="7" t="str"/>
      <x:c r="J108" s="7" t="str"/>
      <x:c r="K108" s="7" t="str"/>
      <x:c r="L108" s="7" t="str"/>
      <x:c r="M108" s="7" t="str">
        <x:v>技術停止を住民の移動サービス廃止と誤認しない。</x:v>
      </x:c>
      <x:c r="N108" s="7" t="str">
        <x:v>車いすは座席に移乗できる場合という条件。普通車代替の便数・アクセシビリティ差は未検証。</x:v>
      </x:c>
      <x:c r="O108" s="7" t="str">
        <x:v>無料運行は確認。補助・自治体負担を含む現在原価未確認。</x:v>
      </x:c>
      <x:c r="P108" s="7" t="str">
        <x:v>技術停止を住民の移動サービス廃止と誤認しない。</x:v>
      </x:c>
      <x:c r="Q108" s="7" t="str"/>
      <x:c r="R108" s="7" t="str">
        <x:v>V-C02</x:v>
      </x:c>
      <x:c r="S108" s="7" t="str">
        <x:v>S322</x:v>
      </x:c>
      <x:c r="T108" s="7" t="str">
        <x:v>https://www.town.ibaraki-sakai.lg.jp/mobile/page/page002440.html</x:v>
      </x:c>
      <x:c r="U108" s="7" t="str"/>
      <x:c r="V108" s="7" t="str">
        <x:v>SRC-9077a9db2f</x:v>
      </x:c>
    </x:row>
    <x:row r="109" ht="68.80000305175781" customHeight="1">
      <x:c r="A109" s="7" t="str">
        <x:v>V-C03</x:v>
      </x:c>
      <x:c r="B109" s="7" t="str">
        <x:v>上士幌自動運転</x:v>
      </x:c>
      <x:c r="C109" s="7" t="str">
        <x:v>北海道上士幌町</x:v>
      </x:c>
      <x:c r="D109" s="7" t="str">
        <x:v>ARMA休止と別技術実証が並存</x:v>
      </x:c>
      <x:c r="E109" s="18" t="str">
        <x:v>2026-10-31閲覧</x:v>
      </x:c>
      <x:c r="F109" s="7" t="str">
        <x:v>横断検証（個別所管は資料参照）</x:v>
      </x:c>
      <x:c r="G109" s="7" t="str"/>
      <x:c r="H109" s="7" t="str">
        <x:v>日付確定記録 2017 から 2026-10-02</x:v>
      </x:c>
      <x:c r="I109" s="7" t="str"/>
      <x:c r="J109" s="7" t="str"/>
      <x:c r="K109" s="7" t="str"/>
      <x:c r="L109" s="7" t="str"/>
      <x:c r="M109" s="7" t="str">
        <x:v>実装経験・福祉交通との接続は示すが最新アクセス成果は未確認。</x:v>
      </x:c>
      <x:c r="N109" s="7" t="str">
        <x:v>同じ町を採択ごとに別成功件数として数えない。最新robotaxiは実証であってARMA運行再開ではない。</x:v>
      </x:c>
      <x:c r="O109" s="7" t="str">
        <x:v>ふるさと納税活用の記載。継続運行財源・総費用は未検証。</x:v>
      </x:c>
      <x:c r="P109" s="7" t="str">
        <x:v>実装経験・福祉交通との接続は示すが最新アクセス成果は未確認。</x:v>
      </x:c>
      <x:c r="Q109" s="7" t="str"/>
      <x:c r="R109" s="7" t="str">
        <x:v>ARMA
RoboBus
ロボタクシー（別系統）
V-C03</x:v>
      </x:c>
      <x:c r="S109" s="7" t="str">
        <x:v>S188</x:v>
      </x:c>
      <x:c r="T109" s="7" t="str">
        <x:v>https://www.kamishihoro.jp/sp/self_driving_bus</x:v>
      </x:c>
      <x:c r="U109" s="7" t="str"/>
      <x:c r="V109" s="7" t="str">
        <x:v>SRC-6bba5e5a9d</x:v>
      </x:c>
    </x:row>
    <x:row r="110" ht="40.400001525878906" customHeight="1">
      <x:c r="A110" s="7" t="str">
        <x:v>V-C04</x:v>
      </x:c>
      <x:c r="B110" s="7" t="str">
        <x:v>松田町のるーと足柄</x:v>
      </x:c>
      <x:c r="C110" s="7" t="str">
        <x:v>神奈川県松田町</x:v>
      </x:c>
      <x:c r="D110" s="7" t="str">
        <x:v>当該サービス終了</x:v>
      </x:c>
      <x:c r="E110" s="18" t="str">
        <x:v>2026-06</x:v>
      </x:c>
      <x:c r="F110" s="7" t="str">
        <x:v>横断検証（個別所管は資料参照）</x:v>
      </x:c>
      <x:c r="G110" s="7" t="str"/>
      <x:c r="H110" s="7" t="str">
        <x:v>日付確定記録 2023-10 から 2026-03-31</x:v>
      </x:c>
      <x:c r="I110" s="7" t="str"/>
      <x:c r="J110" s="7" t="str"/>
      <x:c r="K110" s="7" t="str"/>
      <x:c r="L110" s="7" t="str"/>
      <x:c r="M110" s="7" t="str">
        <x:v>2025年11月の利用実績は979件で、都市部は80歳代の比率が高い。終了は移動困難者がいない証明ではない。</x:v>
      </x:c>
      <x:c r="N110" s="7" t="str">
        <x:v>契約額は設備・システム等を含み、年運営費や全損額ではない。登録/会員と乗車数を分ける。既存便・タクシー助成など対案比較が必要。</x:v>
      </x:c>
      <x:c r="O110" s="7" t="str">
        <x:v>2023–2025年度契約額合計111,589,500円（58,690,500+25,960,000+26,939,000）。月額会員1500世帯目標に最大60余、収支率は高い月も十数%。</x:v>
      </x:c>
      <x:c r="P110" s="7" t="str">
        <x:v>2025年11月の利用実績は979件で、都市部は80歳代の比率が高い。終了は移動困難者がいない証明ではない。</x:v>
      </x:c>
      <x:c r="Q110" s="7" t="str"/>
      <x:c r="R110" s="7" t="str">
        <x:v>AIオンデマンド交通
V-C04</x:v>
      </x:c>
      <x:c r="S110" s="7" t="str">
        <x:v>S054
S053</x:v>
      </x:c>
      <x:c r="T110" s="7" t="str">
        <x:v>https://town.matsuda.kanagawa.jp/uploaded/attachment/18774.pdf</x:v>
      </x:c>
      <x:c r="U110" s="7" t="str">
        <x:v>https://town.matsuda.kanagawa.jp/site/gikai/r0802teireikai.html</x:v>
      </x:c>
      <x:c r="V110" s="7" t="str">
        <x:v>SRC-a58ad356af
SRC-4e0e0818e7</x:v>
      </x:c>
    </x:row>
    <x:row r="111" ht="54.599998474121094" customHeight="1">
      <x:c r="A111" s="7" t="str">
        <x:v>V-C05</x:v>
      </x:c>
      <x:c r="B111" s="7" t="str">
        <x:v>のるーと塩尻</x:v>
      </x:c>
      <x:c r="C111" s="7" t="str">
        <x:v>長野県塩尻市</x:v>
      </x:c>
      <x:c r="D111" s="7" t="str">
        <x:v>実装継続・定時便併用で修正</x:v>
      </x:c>
      <x:c r="E111" s="18" t="str">
        <x:v>2025評価</x:v>
      </x:c>
      <x:c r="F111" s="7" t="str">
        <x:v>横断検証（個別所管は資料参照）</x:v>
      </x:c>
      <x:c r="G111" s="7" t="str"/>
      <x:c r="H111" s="7" t="str">
        <x:v>日付確定記録 2020 から 2025</x:v>
      </x:c>
      <x:c r="I111" s="7" t="str"/>
      <x:c r="J111" s="7" t="str"/>
      <x:c r="K111" s="7" t="str"/>
      <x:c r="L111" s="7" t="str"/>
      <x:c r="M111" s="7" t="str">
        <x:v>片丘アンケート116/170人が継続希望。通学・定期通院などは既存定時便を維持/一部再開。</x:v>
      </x:c>
      <x:c r="N111" s="7" t="str">
        <x:v>エリア拡大・既存バス併用があるため約2倍をAI単独因果効果としない。利用増による待ち時間悪化も同時評価。</x:v>
      </x:c>
      <x:c r="O111" s="7" t="str">
        <x:v>市交通事業全体予算をのるーと単独費用に転用しない。</x:v>
      </x:c>
      <x:c r="P111" s="7" t="str">
        <x:v>片丘アンケート116/170人が継続希望。通学・定期通院などは既存定時便を維持/一部再開。</x:v>
      </x:c>
      <x:c r="Q111" s="7" t="str"/>
      <x:c r="R111" s="7" t="str">
        <x:v>すてっぷくん中心市街地循環線からの置換
V-C05</x:v>
      </x:c>
      <x:c r="S111" s="7" t="str">
        <x:v>S107
S109
S108</x:v>
      </x:c>
      <x:c r="T111" s="7" t="str">
        <x:v>https://www.city.shiojiri.lg.jp/soshiki/8/21176.html</x:v>
      </x:c>
      <x:c r="U111" s="7" t="str">
        <x:v>https://www.city.shiojiri.lg.jp/uploaded/attachment/39971.pdf
https://www.city.shiojiri.lg.jp/uploaded/attachment/28013.pdf</x:v>
      </x:c>
      <x:c r="V111" s="7" t="str">
        <x:v>SRC-115881087c
SRC-a3aa12f026
SRC-21eeb6d244</x:v>
      </x:c>
    </x:row>
    <x:row r="112" ht="40.400001525878906" customHeight="1">
      <x:c r="A112" s="7" t="str">
        <x:v>V-C06</x:v>
      </x:c>
      <x:c r="B112" s="7" t="str">
        <x:v>チョイソコとよあけ</x:v>
      </x:c>
      <x:c r="C112" s="7" t="str">
        <x:v>愛知県豊明市</x:v>
      </x:c>
      <x:c r="D112" s="7" t="str">
        <x:v>長期継続・委託運行</x:v>
      </x:c>
      <x:c r="E112" s="18" t="str">
        <x:v>2026-10-31閲覧</x:v>
      </x:c>
      <x:c r="F112" s="7" t="str">
        <x:v>横断検証（個別所管は資料参照）</x:v>
      </x:c>
      <x:c r="G112" s="7" t="str"/>
      <x:c r="H112" s="7" t="str">
        <x:v>日付確定記録 2018 から 2025-04</x:v>
      </x:c>
      <x:c r="I112" s="7" t="str"/>
      <x:c r="J112" s="7" t="str"/>
      <x:c r="K112" s="7" t="str"/>
      <x:c r="L112" s="7" t="str"/>
      <x:c r="M112" s="7" t="str">
        <x:v>生活移動と外出機会を設計。登録者数増は実乗車・健康改善と別。</x:v>
      </x:c>
      <x:c r="N112" s="7" t="str">
        <x:v>2028までの契約は2028までの実績でない。全原価、住民別の利用断念、スポンサー継続率を追加確認。</x:v>
      </x:c>
      <x:c r="O112" s="7" t="str">
        <x:v>スポンサーは費用の一部を支援。市有車両貸与もあり、広告だけで独立採算とは確認できない。</x:v>
      </x:c>
      <x:c r="P112" s="7" t="str">
        <x:v>生活移動と外出機会を設計。登録者数増は実乗車・健康改善と別。</x:v>
      </x:c>
      <x:c r="Q112" s="7" t="str"/>
      <x:c r="R112" s="7" t="str">
        <x:v>V-C06</x:v>
      </x:c>
      <x:c r="S112" s="7" t="str">
        <x:v>S118
S119</x:v>
      </x:c>
      <x:c r="T112" s="7" t="str">
        <x:v>https://www.city.toyoake.lg.jp/6461.htm</x:v>
      </x:c>
      <x:c r="U112" s="7" t="str">
        <x:v>https://www.city.toyoake.lg.jp/secure/29408/250114kaigisiryou.pdf</x:v>
      </x:c>
      <x:c r="V112" s="7" t="str">
        <x:v>SRC-8276e606e9
SRC-95c65a80b0</x:v>
      </x:c>
    </x:row>
    <x:row r="113" ht="54.599998474121094" customHeight="1">
      <x:c r="A113" s="7" t="str">
        <x:v>V-C07</x:v>
      </x:c>
      <x:c r="B113" s="7" t="str">
        <x:v>伊那市モバイルクリニック</x:v>
      </x:c>
      <x:c r="C113" s="7" t="str">
        <x:v>長野県伊那市</x:v>
      </x:c>
      <x:c r="D113" s="7" t="str">
        <x:v>サービス継続確認、医療便益の定量評価は限定</x:v>
      </x:c>
      <x:c r="E113" s="18" t="n">
        <x:v>46121</x:v>
      </x:c>
      <x:c r="F113" s="7" t="str">
        <x:v>横断検証（個別所管は資料参照）</x:v>
      </x:c>
      <x:c r="G113" s="7" t="str"/>
      <x:c r="H113" s="7" t="str">
        <x:v>日付確定記録 2023 から 2026-04-09</x:v>
      </x:c>
      <x:c r="I113" s="7" t="str"/>
      <x:c r="J113" s="7" t="str"/>
      <x:c r="K113" s="7" t="str"/>
      <x:c r="L113" s="7" t="str"/>
      <x:c r="M113" s="7" t="str">
        <x:v>患者を運ぶのではなく診療アクセスを届ける。小標本の実践研究は受診負担軽減の可能性を示す。</x:v>
      </x:c>
      <x:c r="N113" s="7" t="str">
        <x:v>診療81件は2023年度原著の対象集団、伊那市全事業の累計ではない。看護師技能・診療範囲・対面併用が条件。</x:v>
      </x:c>
      <x:c r="O113" s="7" t="str">
        <x:v>計画2300万円/年は2026–2030計画額、決算でも市負担純額でもない。医療報酬・病院本業と交通原価を分離する。</x:v>
      </x:c>
      <x:c r="P113" s="7" t="str">
        <x:v>患者を運ぶのではなく診療アクセスを届ける。小標本の実践研究は受診負担軽減の可能性を示す。</x:v>
      </x:c>
      <x:c r="Q113" s="7" t="str"/>
      <x:c r="R113" s="7" t="str">
        <x:v>医療MaaS
V-C07</x:v>
      </x:c>
      <x:c r="S113" s="7" t="str">
        <x:v>S182
S187
S179</x:v>
      </x:c>
      <x:c r="T113" s="7" t="str">
        <x:v>https://www.inacity.jp/shisei/inashiseisakusesaku/shinsangyougijutu/mobileclinic/mobileclinicmain.html</x:v>
      </x:c>
      <x:c r="U113" s="7" t="str">
        <x:v>https://www.jstage.jst.go.jp/article/jjrm/75/1/75_37/_article/-char/ja
https://www.inacity.jp/koho/pressrelease/inapress0802/inapress080218.files/PR080218_chiikisozo.pdf</x:v>
      </x:c>
      <x:c r="V113" s="7" t="str">
        <x:v>SRC-802395fdd3
SRC-e70b6bf666
SRC-81f9cf7210</x:v>
      </x:c>
    </x:row>
    <x:row r="114" ht="54.599998474121094" customHeight="1">
      <x:c r="A114" s="7" t="str">
        <x:v>V-C08</x:v>
      </x:c>
      <x:c r="B114" s="7" t="str">
        <x:v>相模原グリーンスローモビリティ</x:v>
      </x:c>
      <x:c r="C114" s="7" t="str">
        <x:v>神奈川県相模原市</x:v>
      </x:c>
      <x:c r="D114" s="7" t="str">
        <x:v>2地区で本格化</x:v>
      </x:c>
      <x:c r="E114" s="18" t="n">
        <x:v>46121</x:v>
      </x:c>
      <x:c r="F114" s="7" t="str">
        <x:v>横断検証（個別所管は資料参照）</x:v>
      </x:c>
      <x:c r="G114" s="7" t="str"/>
      <x:c r="H114" s="7" t="str">
        <x:v>日付確定記録 2023 から 2026-03-28</x:v>
      </x:c>
      <x:c r="I114" s="7" t="str"/>
      <x:c r="J114" s="7" t="str"/>
      <x:c r="K114" s="7" t="str"/>
      <x:c r="L114" s="7" t="str"/>
      <x:c r="M114" s="7" t="str">
        <x:v>地域ボランティアの無料送迎。地域の日常移動を目的化している。</x:v>
      </x:c>
      <x:c r="N114" s="7" t="str">
        <x:v>実施主体は地区別。新磯は2025年度だが暦年2026年開始。運転者確保が課題で、労力を無制限資源としない。</x:v>
      </x:c>
      <x:c r="O114" s="7" t="str">
        <x:v>無料＝無費用でない。車両・保険・研修・ボランティア時間・市の支援を含む原価未確認。</x:v>
      </x:c>
      <x:c r="P114" s="7" t="str">
        <x:v>地域ボランティアの無料送迎。地域の日常移動を目的化している。</x:v>
      </x:c>
      <x:c r="Q114" s="7" t="str"/>
      <x:c r="R114" s="7" t="str">
        <x:v>若葉台
新磯
V-C08</x:v>
      </x:c>
      <x:c r="S114" s="7" t="str">
        <x:v>S102
S101</x:v>
      </x:c>
      <x:c r="T114" s="7" t="str">
        <x:v>https://www.city.sagamihara.kanagawa.jp/shisei/1026823/toshikotsu/1029044.html</x:v>
      </x:c>
      <x:c r="U114" s="7" t="str">
        <x:v>https://www.city.sagamihara.kanagawa.jp/shisei/1026709/mayor/1009760/1030513/1030710.html</x:v>
      </x:c>
      <x:c r="V114" s="7" t="str">
        <x:v>SRC-8a018442fd
SRC-0df8a26dad</x:v>
      </x:c>
    </x:row>
    <x:row r="115" ht="40.400001525878906" customHeight="1">
      <x:c r="A115" s="7" t="str">
        <x:v>V-C09</x:v>
      </x:c>
      <x:c r="B115" s="7" t="str">
        <x:v>のるイコつやま</x:v>
      </x:c>
      <x:c r="C115" s="7" t="str">
        <x:v>岡山県津山市</x:v>
      </x:c>
      <x:c r="D115" s="7" t="str">
        <x:v>本格運行継続・目標一部未達</x:v>
      </x:c>
      <x:c r="E115" s="18" t="str">
        <x:v>令和7年度評価</x:v>
      </x:c>
      <x:c r="F115" s="7" t="str">
        <x:v>横断検証（個別所管は資料参照）</x:v>
      </x:c>
      <x:c r="G115" s="7" t="str"/>
      <x:c r="H115" s="7" t="str">
        <x:v>日付確定記録 2025</x:v>
      </x:c>
      <x:c r="I115" s="7" t="str"/>
      <x:c r="J115" s="7" t="str"/>
      <x:c r="K115" s="7" t="str"/>
      <x:c r="L115" s="7" t="str"/>
      <x:c r="M115" s="7" t="str">
        <x:v>4541人の利用。阿波地区の伸び悩みに定時便・乗降地点見直しを実施。</x:v>
      </x:c>
      <x:c r="N115" s="7" t="str">
        <x:v>評価期間の起終日・乗車延べ数の定義はさらに確認要。4系統の支出でありAI単体コストでない。利用が少ないだけで便益ゼロとはしない。</x:v>
      </x:c>
      <x:c r="O115" s="7" t="str">
        <x:v>同評価の4系統合計：経常収支率2.1%、市支出3206万円。目標は6000人・2%以上・3000万円未満。</x:v>
      </x:c>
      <x:c r="P115" s="7" t="str">
        <x:v>4541人の利用。阿波地区の伸び悩みに定時便・乗降地点見直しを実施。</x:v>
      </x:c>
      <x:c r="Q115" s="7" t="str"/>
      <x:c r="R115" s="7" t="str">
        <x:v>AIデマンド系統8–11
V-C09</x:v>
      </x:c>
      <x:c r="S115" s="7" t="str">
        <x:v>S337</x:v>
      </x:c>
      <x:c r="T115" s="7" t="str">
        <x:v>https://wwwtb.mlit.go.jp/chugoku/content/000370186.pdf</x:v>
      </x:c>
      <x:c r="U115" s="7" t="str"/>
      <x:c r="V115" s="7" t="str">
        <x:v>SRC-478732da21</x:v>
      </x:c>
    </x:row>
    <x:row r="116" ht="54.599998474121094" customHeight="1">
      <x:c r="A116" s="7" t="str">
        <x:v>V-C11</x:v>
      </x:c>
      <x:c r="B116" s="7" t="str">
        <x:v>ふくいMaaS→はぴチケ</x:v>
      </x:c>
      <x:c r="C116" s="7" t="str">
        <x:v>福井県福井市</x:v>
      </x:c>
      <x:c r="D116" s="7" t="str">
        <x:v>デジタル交通券として継続</x:v>
      </x:c>
      <x:c r="E116" s="18" t="str">
        <x:v>2026-10-31閲覧</x:v>
      </x:c>
      <x:c r="F116" s="7" t="str">
        <x:v>横断検証（個別所管は資料参照）</x:v>
      </x:c>
      <x:c r="G116" s="7" t="str"/>
      <x:c r="H116" s="7" t="str">
        <x:v>日付確定記録 2024-03-16 から 2026-10-01</x:v>
      </x:c>
      <x:c r="I116" s="7" t="str"/>
      <x:c r="J116" s="7" t="str"/>
      <x:c r="K116" s="7" t="str"/>
      <x:c r="L116" s="7" t="str"/>
      <x:c r="M116" s="7" t="str">
        <x:v>交通券の実販売はある。販売枚数は新規利用・地域消費の因果効果ではない。</x:v>
      </x:c>
      <x:c r="N116" s="7" t="str">
        <x:v>旧MaaSからの全データ/契約引継ぎは未検証。統合の粒度は名称・サービス機能の継承。</x:v>
      </x:c>
      <x:c r="O116" s="7" t="str">
        <x:v>アプリ全体の登録数や財源を交通部門だけの成果・原価としない。</x:v>
      </x:c>
      <x:c r="P116" s="7" t="str">
        <x:v>交通券の実販売はある。販売枚数は新規利用・地域消費の因果効果ではない。</x:v>
      </x:c>
      <x:c r="Q116" s="7" t="str"/>
      <x:c r="R116" s="7" t="str">
        <x:v>ふくアプリ
はぴチケ
V-C11</x:v>
      </x:c>
      <x:c r="S116" s="7" t="str">
        <x:v>S067
S336
S008</x:v>
      </x:c>
      <x:c r="T116" s="7" t="str">
        <x:v>https://www.city.fukui.lg.jp/kurasi/koutu/public/p070161.html</x:v>
      </x:c>
      <x:c r="U116" s="7" t="str">
        <x:v>https://wwwtb.mlit.go.jp/chubu/tsukuro/hyoka/pdf/jiko/R6/02_fukuishi.pdf
https://fukuappli.jp/hapiticket/</x:v>
      </x:c>
      <x:c r="V116" s="7" t="str">
        <x:v>SRC-86dbdeccec
SRC-a5212126a0
SRC-7d6913e3d4</x:v>
      </x:c>
    </x:row>
    <x:row r="117" ht="40.400001525878906" customHeight="1">
      <x:c r="A117" s="7" t="str">
        <x:v>V-C12</x:v>
      </x:c>
      <x:c r="B117" s="7" t="str">
        <x:v>西米良村ホイホイ便</x:v>
      </x:c>
      <x:c r="C117" s="7" t="str">
        <x:v>宮崎県西米良村</x:v>
      </x:c>
      <x:c r="D117" s="7" t="str">
        <x:v>複数年継続実績</x:v>
      </x:c>
      <x:c r="E117" s="18" t="str">
        <x:v>2023年度実績・2025資料公表</x:v>
      </x:c>
      <x:c r="F117" s="7" t="str">
        <x:v>横断検証（個別所管は資料参照）</x:v>
      </x:c>
      <x:c r="G117" s="7" t="str"/>
      <x:c r="H117" s="7" t="str">
        <x:v>日付確定記録 2020-04-01 から 2023</x:v>
      </x:c>
      <x:c r="I117" s="7" t="str"/>
      <x:c r="J117" s="7" t="str"/>
      <x:c r="K117" s="7" t="str"/>
      <x:c r="L117" s="7" t="str"/>
      <x:c r="M117" s="7" t="str">
        <x:v>既存バスと地域の担い手で物流アクセスを支える。</x:v>
      </x:c>
      <x:c r="N117" s="7" t="str">
        <x:v>郵便物を含む13645件と小荷物約1000件の他資料を同一分母として混ぜない。2026継続は未確定。</x:v>
      </x:c>
      <x:c r="O117" s="7" t="str">
        <x:v>物流事業者からの委託と地域業務。人流運賃・物流委託・地域公費・人件費を分ける必要。</x:v>
      </x:c>
      <x:c r="P117" s="7" t="str">
        <x:v>既存バスと地域の担い手で物流アクセスを支える。</x:v>
      </x:c>
      <x:c r="Q117" s="7" t="str"/>
      <x:c r="R117" s="7" t="str">
        <x:v>V-C12</x:v>
      </x:c>
      <x:c r="S117" s="7" t="str">
        <x:v>S327
S328</x:v>
      </x:c>
      <x:c r="T117" s="7" t="str">
        <x:v>https://www.vill.nishimera.lg.jp/village/wp-content/uploads/2020/03/ee75db6c3ea506c839ecbb7add4a2d41.pdf</x:v>
      </x:c>
      <x:c r="U117" s="7" t="str">
        <x:v>https://www.vill.nishimera.lg.jp/village/wp-content/uploads/2025/05/572c1c96ddd3355751b12ba7b75fecb6.pdf</x:v>
      </x:c>
      <x:c r="V117" s="7" t="str">
        <x:v>SRC-b24cdee233
SRC-ad429ac9cf</x:v>
      </x:c>
    </x:row>
    <x:row r="118" ht="40.400001525878906" customHeight="1">
      <x:c r="A118" s="7" t="str">
        <x:v>V-C13</x:v>
      </x:c>
      <x:c r="B118" s="7" t="str">
        <x:v>熊本5社共同経営</x:v>
      </x:c>
      <x:c r="C118" s="7" t="str">
        <x:v>熊本県熊本市</x:v>
      </x:c>
      <x:c r="D118" s="7" t="str">
        <x:v>制度・ネットワーク改革として継続</x:v>
      </x:c>
      <x:c r="E118" s="18" t="str">
        <x:v>2026-03</x:v>
      </x:c>
      <x:c r="F118" s="7" t="str">
        <x:v>横断検証（個別所管は資料参照）</x:v>
      </x:c>
      <x:c r="G118" s="7" t="str"/>
      <x:c r="H118" s="7" t="str">
        <x:v>日付確定記録 2019-03 から 2026-03</x:v>
      </x:c>
      <x:c r="I118" s="7" t="str"/>
      <x:c r="J118" s="7" t="str"/>
      <x:c r="K118" s="7" t="str"/>
      <x:c r="L118" s="7" t="str"/>
      <x:c r="M118" s="7" t="str">
        <x:v>2022年度のモデル比改善110373千円は全路線赤字の2.7%。必要運転者・車両の削減効果を推計。</x:v>
      </x:c>
      <x:c r="N118" s="7" t="str">
        <x:v>財務値は概数かつ経常概念。共同経営路線効果と全5社計を混同しない。利用回復にはコロナ・値上げ等が交絡。高速含む在籍者と路線従事者の定義を混ぜない。</x:v>
      </x:c>
      <x:c r="O118" s="7" t="str">
        <x:v>2024年度5社の経常収入61億・経常費用95億・経常赤字34億円、運行関係行政支援35億円（雇調金除外）。</x:v>
      </x:c>
      <x:c r="P118" s="7" t="str">
        <x:v>2022年度のモデル比改善110373千円は全路線赤字の2.7%。必要運転者・車両の削減効果を推計。</x:v>
      </x:c>
      <x:c r="Q118" s="7" t="str"/>
      <x:c r="R118" s="7" t="str">
        <x:v>V-C13</x:v>
      </x:c>
      <x:c r="S118" s="7" t="str">
        <x:v>S341
S082</x:v>
      </x:c>
      <x:c r="T118" s="7" t="str">
        <x:v>https://wwwtb.mlit.go.jp/kyushu/content/000324419.pdf</x:v>
      </x:c>
      <x:c r="U118" s="7" t="str">
        <x:v>https://www.city.kumamoto.jp/kiji0032432/3_2432_495498_up_emz8jvz1.pdf</x:v>
      </x:c>
      <x:c r="V118" s="7" t="str">
        <x:v>SRC-96a544d338
SRC-25815fa80f</x:v>
      </x:c>
    </x:row>
  </x:sheetData>
  <x:pageMargins left="0.7" right="0.7" top="0.75" bottom="0.75" header="0.3" footer="0.3"/>
  <x:tableParts count="1">
    <x:tablePart xmlns:r="http://schemas.openxmlformats.org/officeDocument/2006/relationships" r:id="Rb86acc1c55fd4f75"/>
  </x:tableParts>
</x:worksheet>
</file>

<file path=xl/worksheets/sheet3.xml><?xml version="1.0" encoding="utf-8"?>
<x:worksheet xmlns:x="http://schemas.openxmlformats.org/spreadsheetml/2006/main">
  <x:sheetPr>
    <x:tabColor rgb="FF94A7B5"/>
  </x:sheetPr>
  <x:sheetViews>
    <x:sheetView showGridLines="0" workbookViewId="0">
      <x:pane xSplit="2" ySplit="7" topLeftCell="C8" activePane="bottomRight" state="frozen"/>
    </x:sheetView>
  </x:sheetViews>
  <x:sheetFormatPr defaultRowHeight="15"/>
  <x:cols>
    <x:col min="1" max="1" width="19" hidden="0" customWidth="1"/>
    <x:col min="2" max="2" width="38" hidden="0" customWidth="1"/>
    <x:col min="3" max="3" width="34" hidden="0" customWidth="1"/>
    <x:col min="4" max="4" width="25" hidden="0" customWidth="1"/>
    <x:col min="5" max="5" width="50" hidden="0" customWidth="1"/>
    <x:col min="6" max="6" width="56" hidden="0" customWidth="1"/>
    <x:col min="7" max="7" width="48" hidden="0" customWidth="1"/>
    <x:col min="8" max="8" width="15" hidden="0" customWidth="1"/>
    <x:col min="9" max="9" width="50" hidden="0" customWidth="1"/>
    <x:col min="10" max="10" width="53" hidden="0" customWidth="1"/>
    <x:col min="11" max="11" width="50" hidden="0" customWidth="1"/>
    <x:col min="12" max="12" width="33" hidden="0" customWidth="1"/>
    <x:col min="13" max="13" width="20" hidden="0" customWidth="1"/>
    <x:col min="14" max="14" width="48" hidden="0" customWidth="1"/>
    <x:col min="15" max="15" width="60" hidden="0" customWidth="1"/>
    <x:col min="16" max="16" width="31" hidden="0" customWidth="1"/>
  </x:cols>
  <x:sheetData>
    <x:row r="1">
      <x:c r="A1" s="2"/>
      <x:c r="B1" s="2"/>
      <x:c r="C1" s="2"/>
      <x:c r="D1" s="2"/>
      <x:c r="E1" s="2"/>
      <x:c r="F1" s="2"/>
      <x:c r="G1" s="2"/>
      <x:c r="H1" s="2"/>
      <x:c r="I1" s="2"/>
      <x:c r="J1" s="2"/>
      <x:c r="K1" s="2"/>
      <x:c r="L1" s="2"/>
      <x:c r="M1" s="2"/>
      <x:c r="N1" s="2"/>
      <x:c r="O1" s="2"/>
      <x:c r="P1" s="2"/>
    </x:row>
    <x:row r="2" ht="28" customHeight="1">
      <x:c r="A2" s="4" t="str">
        <x:v>政策制度・系列台帳</x:v>
      </x:c>
      <x:c r="B2" s="4"/>
      <x:c r="C2" s="4"/>
      <x:c r="D2" s="4"/>
      <x:c r="E2" s="4"/>
      <x:c r="F2" s="4"/>
      <x:c r="G2" s="4"/>
      <x:c r="H2" s="4"/>
      <x:c r="I2" s="4"/>
      <x:c r="J2" s="4"/>
      <x:c r="K2" s="4"/>
      <x:c r="L2" s="4"/>
      <x:c r="M2" s="4"/>
      <x:c r="N2" s="4"/>
      <x:c r="O2" s="4"/>
      <x:c r="P2" s="4"/>
    </x:row>
    <x:row r="3" ht="20" customHeight="1">
      <x:c r="A3" s="5" t="str">
        <x:v>1行が今回整理した制度・政策系列。制度数は全国の独立補助制度数ではなく、粒度の異なる政策・事業を含みます。</x:v>
      </x:c>
      <x:c r="B3" s="5"/>
      <x:c r="C3" s="5"/>
      <x:c r="D3" s="5"/>
      <x:c r="E3" s="5"/>
      <x:c r="F3" s="5"/>
      <x:c r="G3" s="5"/>
      <x:c r="H3" s="5"/>
      <x:c r="I3" s="5"/>
      <x:c r="J3" s="5"/>
      <x:c r="K3" s="5"/>
      <x:c r="L3" s="5"/>
      <x:c r="M3" s="5"/>
      <x:c r="N3" s="5"/>
      <x:c r="O3" s="5"/>
      <x:c r="P3" s="5"/>
    </x:row>
    <x:row r="4" ht="20" customHeight="1">
      <x:c r="A4" s="5" t="str">
        <x:v>共同省庁・旧IDを保持。時系列の出来事は「年表」に掲載し、予算と実際の支出・成果を区別します。</x:v>
      </x:c>
      <x:c r="B4" s="5"/>
      <x:c r="C4" s="5"/>
      <x:c r="D4" s="5"/>
      <x:c r="E4" s="5"/>
      <x:c r="F4" s="5"/>
      <x:c r="G4" s="5"/>
      <x:c r="H4" s="5"/>
      <x:c r="I4" s="5"/>
      <x:c r="J4" s="5"/>
      <x:c r="K4" s="5"/>
      <x:c r="L4" s="5"/>
      <x:c r="M4" s="5"/>
      <x:c r="N4" s="5"/>
      <x:c r="O4" s="5"/>
      <x:c r="P4" s="5"/>
    </x:row>
    <x:row r="5">
      <x:c r="A5" s="2"/>
      <x:c r="B5" s="2"/>
      <x:c r="C5" s="2"/>
      <x:c r="D5" s="2"/>
      <x:c r="E5" s="2"/>
      <x:c r="F5" s="2"/>
      <x:c r="G5" s="2"/>
      <x:c r="H5" s="2"/>
      <x:c r="I5" s="2"/>
      <x:c r="J5" s="2"/>
      <x:c r="K5" s="2"/>
      <x:c r="L5" s="2"/>
      <x:c r="M5" s="2"/>
      <x:c r="N5" s="2"/>
      <x:c r="O5" s="2"/>
      <x:c r="P5" s="2"/>
    </x:row>
    <x:row r="6" ht="8" customHeight="1">
      <x:c r="A6" s="2"/>
      <x:c r="B6" s="2"/>
      <x:c r="C6" s="2"/>
      <x:c r="D6" s="2"/>
      <x:c r="E6" s="2"/>
      <x:c r="F6" s="2"/>
      <x:c r="G6" s="2"/>
      <x:c r="H6" s="2"/>
      <x:c r="I6" s="2"/>
      <x:c r="J6" s="2"/>
      <x:c r="K6" s="2"/>
      <x:c r="L6" s="2"/>
      <x:c r="M6" s="2"/>
      <x:c r="N6" s="2"/>
      <x:c r="O6" s="2"/>
      <x:c r="P6" s="2"/>
    </x:row>
    <x:row r="7" ht="34" customHeight="1">
      <x:c r="A7" s="11" t="str">
        <x:v>制度・系列ID</x:v>
      </x:c>
      <x:c r="B7" s="12" t="str">
        <x:v>制度・系列名</x:v>
      </x:c>
      <x:c r="C7" s="12" t="str">
        <x:v>所管・関係府省</x:v>
      </x:c>
      <x:c r="D7" s="12" t="str">
        <x:v>対象期間（原記載）</x:v>
      </x:c>
      <x:c r="E7" s="12" t="str">
        <x:v>目的・介入</x:v>
      </x:c>
      <x:c r="F7" s="12" t="str">
        <x:v>政策の変遷</x:v>
      </x:c>
      <x:c r="G7" s="12" t="str">
        <x:v>状態・確認できたこと</x:v>
      </x:c>
      <x:c r="H7" s="12" t="str">
        <x:v>根拠時点</x:v>
      </x:c>
      <x:c r="I7" s="12" t="str">
        <x:v>実施成果・確認根拠</x:v>
      </x:c>
      <x:c r="J7" s="12" t="str">
        <x:v>制約・未確認事項</x:v>
      </x:c>
      <x:c r="K7" s="12" t="str">
        <x:v>予算・支援額（原記載）</x:v>
      </x:c>
      <x:c r="L7" s="12" t="str">
        <x:v>共同事業・旧ID</x:v>
      </x:c>
      <x:c r="M7" s="12" t="str">
        <x:v>出典番号</x:v>
      </x:c>
      <x:c r="N7" s="12" t="str">
        <x:v>主要根拠URL</x:v>
      </x:c>
      <x:c r="O7" s="12" t="str">
        <x:v>その他の根拠URL</x:v>
      </x:c>
      <x:c r="P7" s="13" t="str">
        <x:v>出典ID</x:v>
      </x:c>
    </x:row>
    <x:row r="8" ht="40.400001525878906" customHeight="1">
      <x:c r="A8" s="7" t="str">
        <x:v>mlit_strategy</x:v>
      </x:c>
      <x:c r="B8" s="7" t="str">
        <x:v>自動運転戦略本部・端末交通共同実証</x:v>
      </x:c>
      <x:c r="C8" s="7" t="str">
        <x:v>国土交通省</x:v>
      </x:c>
      <x:c r="D8" s="7" t="str">
        <x:v>2016～</x:v>
      </x:c>
      <x:c r="E8" s="7" t="str">
        <x:v>車両・道路・物流・端末交通を横断調整</x:v>
      </x:c>
      <x:c r="F8" s="7" t="str"/>
      <x:c r="G8" s="7" t="str">
        <x:v>2016年度起点、後継RoAD to the L4等は経産省編と統合</x:v>
      </x:c>
      <x:c r="H8" s="18" t="n">
        <x:v>46326</x:v>
      </x:c>
      <x:c r="I8" s="7" t="str"/>
      <x:c r="J8" s="7" t="str"/>
      <x:c r="K8" s="7" t="str">
        <x:v>確認した資料では当該制度総額を特定せず</x:v>
      </x:c>
      <x:c r="L8" s="7" t="str">
        <x:v>経産省・国交省端末交通／RoAD to the L4
mlit_strategy</x:v>
      </x:c>
      <x:c r="M8" s="7" t="str">
        <x:v>S223
S060</x:v>
      </x:c>
      <x:c r="N8" s="7" t="str">
        <x:v>https://www.mlit.go.jp/common/001179600.pdf</x:v>
      </x:c>
      <x:c r="O8" s="7" t="str">
        <x:v>https://www.aist.go.jp/aist_j/news/pr20161107.html</x:v>
      </x:c>
      <x:c r="P8" s="7" t="str">
        <x:v>SRC-f8a80a5792
SRC-84c6819f9a</x:v>
      </x:c>
    </x:row>
    <x:row r="9" ht="54.599998474121094" customHeight="1">
      <x:c r="A9" s="7" t="str">
        <x:v>roadstation</x:v>
      </x:c>
      <x:c r="B9" s="7" t="str">
        <x:v>中山間地域・道の駅等自動運転サービス</x:v>
      </x:c>
      <x:c r="C9" s="7" t="str">
        <x:v>国土交通省</x:v>
      </x:c>
      <x:c r="D9" s="7" t="str">
        <x:v>FY2017～</x:v>
      </x:c>
      <x:c r="E9" s="7" t="str">
        <x:v>生活拠点と集落を結ぶ低速人流・物流</x:v>
      </x:c>
      <x:c r="F9" s="7" t="str"/>
      <x:c r="G9" s="7" t="str">
        <x:v>短期13箇所→累計18箇所、本格運行後も地域により継続・休止・終了</x:v>
      </x:c>
      <x:c r="H9" s="18" t="n">
        <x:v>46326</x:v>
      </x:c>
      <x:c r="I9" s="7" t="str"/>
      <x:c r="J9" s="7" t="str"/>
      <x:c r="K9" s="7" t="str">
        <x:v>確認した資料では当該制度総額を特定せず</x:v>
      </x:c>
      <x:c r="L9" s="7" t="str">
        <x:v>SIP・内閣府・国交省
roadstation</x:v>
      </x:c>
      <x:c r="M9" s="7" t="str">
        <x:v>S296
S295
S245</x:v>
      </x:c>
      <x:c r="N9" s="7" t="str">
        <x:v>https://www.nilim.go.jp/lab/qcg/research/automated-driving.html</x:v>
      </x:c>
      <x:c r="O9" s="7" t="str">
        <x:v>https://www.nilim.go.jp/lab/bcg/siryou/tnn/tnn1161pdf/ks1161.pdf
https://www.mlit.go.jp/report/press/road01_hh_001258.html</x:v>
      </x:c>
      <x:c r="P9" s="7" t="str">
        <x:v>SRC-82fa3d7d09
SRC-63f5ab671c
SRC-d434c18491</x:v>
      </x:c>
    </x:row>
    <x:row r="10" ht="40.400001525878906" customHeight="1">
      <x:c r="A10" s="7" t="str">
        <x:v>gsm</x:v>
      </x:c>
      <x:c r="B10" s="7" t="str">
        <x:v>グリーンスローモビリティ実証調査</x:v>
      </x:c>
      <x:c r="C10" s="7" t="str">
        <x:v>国土交通省</x:v>
      </x:c>
      <x:c r="D10" s="7" t="str">
        <x:v>FY2018～FY2021</x:v>
      </x:c>
      <x:c r="E10" s="7" t="str">
        <x:v>20km/h未満の電動低速移動を生活・観光に導入</x:v>
      </x:c>
      <x:c r="F10" s="7" t="str"/>
      <x:c r="G10" s="7" t="str">
        <x:v>当該調査制度は2021年度終了。グリスロ運行や別補助の終了ではない</x:v>
      </x:c>
      <x:c r="H10" s="18" t="n">
        <x:v>46326</x:v>
      </x:c>
      <x:c r="I10" s="7" t="str"/>
      <x:c r="J10" s="7" t="str"/>
      <x:c r="K10" s="7" t="str">
        <x:v>確認した資料では当該制度総額を特定せず</x:v>
      </x:c>
      <x:c r="L10" s="7" t="str">
        <x:v>環境省・国交省の関連支援は別枠を統合
gsm</x:v>
      </x:c>
      <x:c r="M10" s="7" t="str">
        <x:v>S258
S064</x:v>
      </x:c>
      <x:c r="N10" s="7" t="str">
        <x:v>https://www.mlit.go.jp/sogoseisaku/environment/sosei_environment_fr_000152.html</x:v>
      </x:c>
      <x:c r="O10" s="7" t="str">
        <x:v>https://www.chisou.go.jp/sousei/about/mirai/list03/pdf/ministry_mlit.pdf</x:v>
      </x:c>
      <x:c r="P10" s="7" t="str">
        <x:v>SRC-cab746b9fe
SRC-bcddb05111</x:v>
      </x:c>
    </x:row>
    <x:row r="11" ht="40.400001525878906" customHeight="1">
      <x:c r="A11" s="7" t="str">
        <x:v>maas_japan</x:v>
      </x:c>
      <x:c r="B11" s="7" t="str">
        <x:v>日本版MaaS推進・共創MaaS・観光MaaS</x:v>
      </x:c>
      <x:c r="C11" s="7" t="str">
        <x:v>国土交通省</x:v>
      </x:c>
      <x:c r="D11" s="7" t="str">
        <x:v>FY2019～FY2026途中</x:v>
      </x:c>
      <x:c r="E11" s="7" t="str">
        <x:v>検索予約決済と交通・観光・生活サービス連携</x:v>
      </x:c>
      <x:c r="F11" s="7" t="str"/>
      <x:c r="G11" s="7" t="str">
        <x:v>2019 19→2020 36→2021 12→2022 6→2023 6→2024 11→2025 36→2026観光9（年度別枠・定義の変化あり）</x:v>
      </x:c>
      <x:c r="H11" s="18" t="n">
        <x:v>46326</x:v>
      </x:c>
      <x:c r="I11" s="7" t="str"/>
      <x:c r="J11" s="7" t="str"/>
      <x:c r="K11" s="7" t="str">
        <x:v>確認した資料では当該制度総額を特定せず</x:v>
      </x:c>
      <x:c r="L11" s="7" t="str">
        <x:v>maas_japan</x:v>
      </x:c>
      <x:c r="M11" s="7" t="str">
        <x:v>S271
S272</x:v>
      </x:c>
      <x:c r="N11" s="7" t="str">
        <x:v>https://www.mlit.go.jp/sogoseisaku/transport/sosei_transport_tk_000160.html</x:v>
      </x:c>
      <x:c r="O11" s="7" t="str">
        <x:v>https://www.mlit.go.jp/sogoseisaku/transport/sosei_transport_tk_000193.html</x:v>
      </x:c>
      <x:c r="P11" s="7" t="str">
        <x:v>SRC-dc31021747
SRC-d2c785b30a</x:v>
      </x:c>
    </x:row>
    <x:row r="12" ht="40.400001525878906" customHeight="1">
      <x:c r="A12" s="7" t="str">
        <x:v>mob_foundation</x:v>
      </x:c>
      <x:c r="B12" s="7" t="str">
        <x:v>新モビリティサービス推進／MaaS実装基盤整備</x:v>
      </x:c>
      <x:c r="C12" s="7" t="str">
        <x:v>国土交通省</x:v>
      </x:c>
      <x:c r="D12" s="7" t="str">
        <x:v>FY2020～FY2023
FY2024～</x:v>
      </x:c>
      <x:c r="E12" s="7" t="str">
        <x:v>AIデマンド、低速車、シェア、キャッシュレス、交通データ・混雑情報</x:v>
      </x:c>
      <x:c r="F12" s="7" t="str"/>
      <x:c r="G12" s="7" t="str">
        <x:v>2024以降は基盤整備枠に整理</x:v>
      </x:c>
      <x:c r="H12" s="18" t="n">
        <x:v>46326</x:v>
      </x:c>
      <x:c r="I12" s="7" t="str"/>
      <x:c r="J12" s="7" t="str"/>
      <x:c r="K12" s="7" t="str">
        <x:v>確認した資料では当該制度総額を特定せず</x:v>
      </x:c>
      <x:c r="L12" s="7" t="str">
        <x:v>mob_foundation</x:v>
      </x:c>
      <x:c r="M12" s="7" t="str">
        <x:v>S272</x:v>
      </x:c>
      <x:c r="N12" s="7" t="str">
        <x:v>https://www.mlit.go.jp/sogoseisaku/transport/sosei_transport_tk_000193.html</x:v>
      </x:c>
      <x:c r="O12" s="7" t="str"/>
      <x:c r="P12" s="7" t="str">
        <x:v>SRC-d2c785b30a</x:v>
      </x:c>
    </x:row>
    <x:row r="13" ht="68.80000305175781" customHeight="1">
      <x:c r="A13" s="7" t="str">
        <x:v>smartcity</x:v>
      </x:c>
      <x:c r="B13" s="7" t="str">
        <x:v>スマートシティモデル／実装化支援</x:v>
      </x:c>
      <x:c r="C13" s="7" t="str">
        <x:v>国土交通省</x:v>
      </x:c>
      <x:c r="D13" s="7" t="str">
        <x:v>FY2019～</x:v>
      </x:c>
      <x:c r="E13" s="7" t="str">
        <x:v>都市課題・データ・複数分野サービスを一体化</x:v>
      </x:c>
      <x:c r="F13" s="7" t="str"/>
      <x:c r="G13" s="7" t="str">
        <x:v>2019モデル→2022実装化→2023都市サービス型→2025戦略型。2025まで35地域を効果検証</x:v>
      </x:c>
      <x:c r="H13" s="18" t="n">
        <x:v>46326</x:v>
      </x:c>
      <x:c r="I13" s="7" t="str"/>
      <x:c r="J13" s="7" t="str"/>
      <x:c r="K13" s="7" t="str">
        <x:v>2026当初2.2億円。都市サービス型上限3500万円・戦略型5000万円、個別交付実績ではない</x:v>
      </x:c>
      <x:c r="L13" s="7" t="str">
        <x:v>smartcity</x:v>
      </x:c>
      <x:c r="M13" s="7" t="str">
        <x:v>S252
S278
S277
S275</x:v>
      </x:c>
      <x:c r="N13" s="7" t="str">
        <x:v>https://www.mlit.go.jp/report/press/toshi07_hh_000139.html</x:v>
      </x:c>
      <x:c r="O13" s="7" t="str">
        <x:v>https://www.mlit.go.jp/toshi/tosiko/toshi_tosiko_tk_000051.html
https://www.mlit.go.jp/toshi/tosiko/content/002002094.pdf
https://www.mlit.go.jp/toshi/daisei/content/001989644.pdf</x:v>
      </x:c>
      <x:c r="P13" s="7" t="str">
        <x:v>SRC-94db9792b7
SRC-289bea058a
SRC-5807eb25af
SRC-a83731afee</x:v>
      </x:c>
    </x:row>
    <x:row r="14" ht="68.80000305175781" customHeight="1">
      <x:c r="A14" s="7" t="str">
        <x:v>kyousou</x:v>
      </x:c>
      <x:c r="B14" s="7" t="str">
        <x:v>共創による地域交通形成支援／共創モデル実証</x:v>
      </x:c>
      <x:c r="C14" s="7" t="str">
        <x:v>国土交通省</x:v>
      </x:c>
      <x:c r="D14" s="7" t="str">
        <x:v>FY2022～</x:v>
      </x:c>
      <x:c r="E14" s="7" t="str">
        <x:v>医療・商業・教育等の資源・費用負担を交通に連結</x:v>
      </x:c>
      <x:c r="F14" s="7" t="str"/>
      <x:c r="G14" s="7" t="str">
        <x:v>2022初回15件、2023支援77件。2024共創・MaaS・人材へ整理</x:v>
      </x:c>
      <x:c r="H14" s="18" t="n">
        <x:v>46326</x:v>
      </x:c>
      <x:c r="I14" s="7" t="str"/>
      <x:c r="J14" s="7" t="str"/>
      <x:c r="K14" s="7" t="str">
        <x:v>2023補正279億円の内数。279億円全額を共創実証総額とはしない</x:v>
      </x:c>
      <x:c r="L14" s="7" t="str">
        <x:v>kyousou</x:v>
      </x:c>
      <x:c r="M14" s="7" t="str">
        <x:v>S246
S222
S020
S014</x:v>
      </x:c>
      <x:c r="N14" s="7" t="str">
        <x:v>https://www.mlit.go.jp/report/press/sogo12_hh_000270.html</x:v>
      </x:c>
      <x:c r="O14" s="7" t="str">
        <x:v>https://www.mlit.go.jp/2chiiki/files/nichiikisesaku_r6240501.pdf
https://kotsu-kuhaku.jp/adopter_r5/
https://kotsu-kuhaku.jp/adopter_6/</x:v>
      </x:c>
      <x:c r="P14" s="7" t="str">
        <x:v>SRC-b090aec4fc
SRC-e1b1eeef61
SRC-c02578fa81
SRC-3ee58251dd</x:v>
      </x:c>
    </x:row>
    <x:row r="15" ht="40.400001525878906" customHeight="1">
      <x:c r="A15" s="7" t="str">
        <x:v>human</x:v>
      </x:c>
      <x:c r="B15" s="7" t="str">
        <x:v>モビリティ人材育成／人材・組織育成</x:v>
      </x:c>
      <x:c r="C15" s="7" t="str">
        <x:v>国土交通省</x:v>
      </x:c>
      <x:c r="D15" s="7" t="str">
        <x:v>FY2023～FY2026途中</x:v>
      </x:c>
      <x:c r="E15" s="7" t="str">
        <x:v>自治体・事業者・地域でデータ活用と合意形成を担う能力づくり</x:v>
      </x:c>
      <x:c r="F15" s="7" t="str"/>
      <x:c r="G15" s="7" t="str">
        <x:v>2026リ・デザイン4類型の一つ</x:v>
      </x:c>
      <x:c r="H15" s="18" t="n">
        <x:v>46326</x:v>
      </x:c>
      <x:c r="I15" s="7" t="str"/>
      <x:c r="J15" s="7" t="str"/>
      <x:c r="K15" s="7" t="str">
        <x:v>2026定額・上限3000万円（個別採択額ではない）</x:v>
      </x:c>
      <x:c r="L15" s="7" t="str">
        <x:v>human</x:v>
      </x:c>
      <x:c r="M15" s="7" t="str">
        <x:v>S222
S013</x:v>
      </x:c>
      <x:c r="N15" s="7" t="str">
        <x:v>https://www.mlit.go.jp/2chiiki/files/nichiikisesaku_r6240501.pdf</x:v>
      </x:c>
      <x:c r="O15" s="7" t="str">
        <x:v>https://kotsu-kuhaku-r8.jp/</x:v>
      </x:c>
      <x:c r="P15" s="7" t="str">
        <x:v>SRC-e1b1eeef61
SRC-1a3fa50c24</x:v>
      </x:c>
    </x:row>
    <x:row r="16" ht="40.400001525878906" customHeight="1">
      <x:c r="A16" s="7" t="str">
        <x:v>gap</x:v>
      </x:c>
      <x:c r="B16" s="7" t="str">
        <x:v>交通空白解消・地域交通リ・デザイン</x:v>
      </x:c>
      <x:c r="C16" s="7" t="str">
        <x:v>国土交通省</x:v>
      </x:c>
      <x:c r="D16" s="7" t="str">
        <x:v>FY2025～FY2026途中</x:v>
      </x:c>
      <x:c r="E16" s="7" t="str">
        <x:v>地域輸送資源の総動員、共同化協業化</x:v>
      </x:c>
      <x:c r="F16" s="7" t="str"/>
      <x:c r="G16" s="7" t="str">
        <x:v>2026は交通空白・共同化協業化・DX・人材組織の4類型</x:v>
      </x:c>
      <x:c r="H16" s="18" t="n">
        <x:v>46326</x:v>
      </x:c>
      <x:c r="I16" s="7" t="str"/>
      <x:c r="J16" s="7" t="str"/>
      <x:c r="K16" s="7" t="str">
        <x:v>2026交通空白：定額500万円、他分野参画等750万円、超過2/3等、上限1億円。共同化上限1.2億円。適用要件で率が異なる</x:v>
      </x:c>
      <x:c r="L16" s="7" t="str">
        <x:v>gap</x:v>
      </x:c>
      <x:c r="M16" s="7" t="str">
        <x:v>S270
S013</x:v>
      </x:c>
      <x:c r="N16" s="7" t="str">
        <x:v>https://www.mlit.go.jp/sogoseisaku/transport/kyousou/</x:v>
      </x:c>
      <x:c r="O16" s="7" t="str">
        <x:v>https://kotsu-kuhaku-r8.jp/</x:v>
      </x:c>
      <x:c r="P16" s="7" t="str">
        <x:v>SRC-88e1a6bc03
SRC-1a3fa50c24</x:v>
      </x:c>
    </x:row>
    <x:row r="17" ht="68.80000305175781" customHeight="1">
      <x:c r="A17" s="7" t="str">
        <x:v>commmmons</x:v>
      </x:c>
      <x:c r="B17" s="7" t="str">
        <x:v>地域交通DX COMmmmONS</x:v>
      </x:c>
      <x:c r="C17" s="7" t="str">
        <x:v>国土交通省</x:v>
      </x:c>
      <x:c r="D17" s="7" t="str">
        <x:v>FY2025～FY2026途中</x:v>
      </x:c>
      <x:c r="E17" s="7" t="str">
        <x:v>アプリ・データ・業務の分断を標準仕様・API・OSSで是正</x:v>
      </x:c>
      <x:c r="F17" s="7" t="str">
        <x:v>2025年6月27日：国交省がCOMmmmONS始動を公表。サイロ化解消・標準化・共同利用を推進。デジタル庁の単独事業ではない。</x:v>
      </x:c>
      <x:c r="G17" s="7" t="str">
        <x:v>2026-03-31に13標準等を公表、2026 20事業選定</x:v>
      </x:c>
      <x:c r="H17" s="18" t="n">
        <x:v>46326</x:v>
      </x:c>
      <x:c r="I17" s="7" t="str"/>
      <x:c r="J17" s="7" t="str"/>
      <x:c r="K17" s="7" t="str">
        <x:v>確認した資料では当該制度総額を特定せず</x:v>
      </x:c>
      <x:c r="L17" s="7" t="str">
        <x:v>commmmons
DIG-P18</x:v>
      </x:c>
      <x:c r="M17" s="7" t="str">
        <x:v>S248
S238
S239
S247</x:v>
      </x:c>
      <x:c r="N17" s="7" t="str">
        <x:v>https://www.mlit.go.jp/report/press/sogo12_hh_000511.html</x:v>
      </x:c>
      <x:c r="O17" s="7" t="str">
        <x:v>https://www.mlit.go.jp/report/press/content/001992826.pdf
https://www.mlit.go.jp/report/press/content/001992827.pdf
https://www.mlit.go.jp/report/press/sogo12_hh_000454.html</x:v>
      </x:c>
      <x:c r="P17" s="7" t="str">
        <x:v>SRC-e3caafad86
SRC-0120c48f5e
SRC-2a526f74ad
SRC-1cf61fd376</x:v>
      </x:c>
    </x:row>
    <x:row r="18" ht="97.19999694824219" customHeight="1">
      <x:c r="A18" s="7" t="str">
        <x:v>av_support</x:v>
      </x:c>
      <x:c r="B18" s="7" t="str">
        <x:v>自動運転実証調査／自動運転社会実装推進事業</x:v>
      </x:c>
      <x:c r="C18" s="7" t="str">
        <x:v>国土交通省</x:v>
      </x:c>
      <x:c r="D18" s="7" t="str">
        <x:v>FY2022～FY2026途中</x:v>
      </x:c>
      <x:c r="E18" s="7" t="str">
        <x:v>自治体の車両・システム導入とL4移行を支援</x:v>
      </x:c>
      <x:c r="F18" s="7" t="str"/>
      <x:c r="G18" s="7" t="str">
        <x:v>2024選定99、2025採択67、2026交付37。実装成功数ではない</x:v>
      </x:c>
      <x:c r="H18" s="18" t="n">
        <x:v>46326</x:v>
      </x:c>
      <x:c r="I18" s="7" t="str"/>
      <x:c r="J18" s="7" t="str"/>
      <x:c r="K18" s="7" t="str">
        <x:v>2025補助率4/5、重点上限3億円・一般1億円。予算資料21405百万円(FY2024)/20905百万円(FY2025)は広い事業の内数で専用予算ではない</x:v>
      </x:c>
      <x:c r="L18" s="7" t="str">
        <x:v>av_support</x:v>
      </x:c>
      <x:c r="M18" s="7" t="str">
        <x:v>S229
S236
S234
S243
S283
S282</x:v>
      </x:c>
      <x:c r="N18" s="7" t="str">
        <x:v>https://www.mlit.go.jp/jidosha/jidosha_fr7_000066.html</x:v>
      </x:c>
      <x:c r="O18" s="7" t="str">
        <x:v>https://www.mlit.go.jp/report/press/content/001747045.pdf
https://www.mlit.go.jp/policy/shingikai/content/001976226.pdf
https://www.mlit.go.jp/report/press/jidosha07_hh_000569.html
https://www.mof.go.jp/policy/budget/topics/budget_execution_audit/fy2025/sy0706/23.pdf
https://www.mof.go.jp/policy/budget/topics/budget_execution_audit/fy2025/hanei/23.pdf</x:v>
      </x:c>
      <x:c r="P18" s="7" t="str">
        <x:v>SRC-52977fc627
SRC-9b4076dfc2
SRC-a460687a1d
SRC-01ddef8dc0
SRC-8dca6bdaca
SRC-11b05ca359</x:v>
      </x:c>
    </x:row>
    <x:row r="19" ht="40.400001525878906" customHeight="1">
      <x:c r="A19" s="7" t="str">
        <x:v>av_infra</x:v>
      </x:c>
      <x:c r="B19" s="7" t="str">
        <x:v>道路側支援・未来技術社会実装連携・都市交通自動運転</x:v>
      </x:c>
      <x:c r="C19" s="7" t="str">
        <x:v>国土交通省</x:v>
      </x:c>
      <x:c r="D19" s="7" t="str">
        <x:v>FY2021～
2025～</x:v>
      </x:c>
      <x:c r="E19" s="7" t="str">
        <x:v>路車協調・地域実装支援・高速道路の実証環境整備</x:v>
      </x:c>
      <x:c r="F19" s="7" t="str"/>
      <x:c r="G19" s="7" t="str">
        <x:v>2022選定3市支援を2027-03まで継続、新東名優先レーンは2025開始</x:v>
      </x:c>
      <x:c r="H19" s="18" t="n">
        <x:v>46326</x:v>
      </x:c>
      <x:c r="I19" s="7" t="str"/>
      <x:c r="J19" s="7" t="str"/>
      <x:c r="K19" s="7" t="str">
        <x:v>確認した資料では当該制度総額を特定せず</x:v>
      </x:c>
      <x:c r="L19" s="7" t="str">
        <x:v>内閣府未来技術社会実装／METI・NEXCO等共同
av_infra</x:v>
      </x:c>
      <x:c r="M19" s="7" t="str">
        <x:v>S253
S237</x:v>
      </x:c>
      <x:c r="N19" s="7" t="str">
        <x:v>https://www.mlit.go.jp/road/ITS/j-html/automatic-driving-service_r4.html</x:v>
      </x:c>
      <x:c r="O19" s="7" t="str">
        <x:v>https://www.mlit.go.jp/report/press/content/001861145.pdf</x:v>
      </x:c>
      <x:c r="P19" s="7" t="str">
        <x:v>SRC-e7c4fe10e7
SRC-27ace55ff4</x:v>
      </x:c>
    </x:row>
    <x:row r="20" ht="40.400001525878906" customHeight="1">
      <x:c r="A20" s="7" t="str">
        <x:v>cargo_mix</x:v>
      </x:c>
      <x:c r="B20" s="7" t="str">
        <x:v>貨客混載・地域物流共同化</x:v>
      </x:c>
      <x:c r="C20" s="7" t="str">
        <x:v>国土交通省</x:v>
      </x:c>
      <x:c r="D20" s="7" t="str">
        <x:v>2017～</x:v>
      </x:c>
      <x:c r="E20" s="7" t="str">
        <x:v>既存旅客輸送の余力で物流・運転者資源を節約</x:v>
      </x:c>
      <x:c r="F20" s="7" t="str"/>
      <x:c r="G20" s="7" t="str">
        <x:v>2017運用変更、2018共同輸送など。制度適用の現行法判断は対象外</x:v>
      </x:c>
      <x:c r="H20" s="18" t="n">
        <x:v>46326</x:v>
      </x:c>
      <x:c r="I20" s="7" t="str"/>
      <x:c r="J20" s="7" t="str"/>
      <x:c r="K20" s="7" t="str">
        <x:v>確認した資料では当該制度総額を特定せず</x:v>
      </x:c>
      <x:c r="L20" s="7" t="str">
        <x:v>cargo_mix</x:v>
      </x:c>
      <x:c r="M20" s="7" t="str">
        <x:v>S240
S250</x:v>
      </x:c>
      <x:c r="N20" s="7" t="str">
        <x:v>https://www.mlit.go.jp/report/press/jidosha04_hh_000134.html</x:v>
      </x:c>
      <x:c r="O20" s="7" t="str">
        <x:v>https://www.mlit.go.jp/report/press/tokatsu01_hh_000373.html</x:v>
      </x:c>
      <x:c r="P20" s="7" t="str">
        <x:v>SRC-cec4fe6799
SRC-1be1fcb435</x:v>
      </x:c>
    </x:row>
    <x:row r="21" ht="54.599998474121094" customHeight="1">
      <x:c r="A21" s="7" t="str">
        <x:v>drone_logistics</x:v>
      </x:c>
      <x:c r="B21" s="7" t="str">
        <x:v>ドローン物流実証・実用化調査</x:v>
      </x:c>
      <x:c r="C21" s="7" t="str">
        <x:v>国土交通省</x:v>
      </x:c>
      <x:c r="D21" s="7" t="str">
        <x:v>FY2018～</x:v>
      </x:c>
      <x:c r="E21" s="7" t="str">
        <x:v>過疎地・離島・山岳の配送、CO2とコスト検証</x:v>
      </x:c>
      <x:c r="F21" s="7" t="str"/>
      <x:c r="G21" s="7" t="str">
        <x:v>ガイドライン・年度別実証報告へ継承</x:v>
      </x:c>
      <x:c r="H21" s="18" t="n">
        <x:v>46326</x:v>
      </x:c>
      <x:c r="I21" s="7" t="str"/>
      <x:c r="J21" s="7" t="str"/>
      <x:c r="K21" s="7" t="str">
        <x:v>確認した資料では当該制度総額を特定せず</x:v>
      </x:c>
      <x:c r="L21" s="7" t="str">
        <x:v>環境省／国交省関連ドローン実証。2018報告は環境省委託
drone_logistics</x:v>
      </x:c>
      <x:c r="M21" s="7" t="str">
        <x:v>S257
S225</x:v>
      </x:c>
      <x:c r="N21" s="7" t="str">
        <x:v>https://www.mlit.go.jp/seisakutokatsu/freight/seisakutokatsu_tk_000024.html</x:v>
      </x:c>
      <x:c r="O21" s="7" t="str">
        <x:v>https://www.mlit.go.jp/common/001289661.pdf</x:v>
      </x:c>
      <x:c r="P21" s="7" t="str">
        <x:v>SRC-0468ffa389
SRC-8a19cf209a</x:v>
      </x:c>
    </x:row>
    <x:row r="22" ht="40.400001525878906" customHeight="1">
      <x:c r="A22" s="7" t="str">
        <x:v>truck_logistics</x:v>
      </x:c>
      <x:c r="B22" s="7" t="str">
        <x:v>自動運転トラック幹線輸送システム実証</x:v>
      </x:c>
      <x:c r="C22" s="7" t="str">
        <x:v>国土交通省</x:v>
      </x:c>
      <x:c r="D22" s="7" t="str">
        <x:v>FY2025～</x:v>
      </x:c>
      <x:c r="E22" s="7" t="str">
        <x:v>高速道路・ハブ・運行管理を含めた幹線物流実装準備</x:v>
      </x:c>
      <x:c r="F22" s="7" t="str"/>
      <x:c r="G22" s="7" t="str">
        <x:v>2025 4件交付決定、L4商用化達成を意味しない</x:v>
      </x:c>
      <x:c r="H22" s="18" t="n">
        <x:v>46326</x:v>
      </x:c>
      <x:c r="I22" s="7" t="str"/>
      <x:c r="J22" s="7" t="str"/>
      <x:c r="K22" s="7" t="str">
        <x:v>2025交付決定総額444百万円＝4件合計。1件額ではない</x:v>
      </x:c>
      <x:c r="L22" s="7" t="str">
        <x:v>経産省・国交省等幹線自動運転
truck_logistics</x:v>
      </x:c>
      <x:c r="M22" s="7" t="str">
        <x:v>S251
S237</x:v>
      </x:c>
      <x:c r="N22" s="7" t="str">
        <x:v>https://www.mlit.go.jp/report/press/tokatsu01_hh_000949.html</x:v>
      </x:c>
      <x:c r="O22" s="7" t="str">
        <x:v>https://www.mlit.go.jp/report/press/content/001861145.pdf</x:v>
      </x:c>
      <x:c r="P22" s="7" t="str">
        <x:v>SRC-f9fb175705
SRC-27ace55ff4</x:v>
      </x:c>
    </x:row>
    <x:row r="23" ht="40.400001525878906" customHeight="1">
      <x:c r="A23" s="7" t="str">
        <x:v>locker_program</x:v>
      </x:c>
      <x:c r="B23" s="7" t="str">
        <x:v>オープン型宅配ロッカー／道の駅再配達削減実験</x:v>
      </x:c>
      <x:c r="C23" s="7" t="str">
        <x:v>国土交通省</x:v>
      </x:c>
      <x:c r="D23" s="7" t="str">
        <x:v>2016～2018予定</x:v>
      </x:c>
      <x:c r="E23" s="7" t="str">
        <x:v>宅配再配達を減らす受取拠点</x:v>
      </x:c>
      <x:c r="F23" s="7" t="str"/>
      <x:c r="G23" s="7" t="str">
        <x:v>2016-10-24開始は期間前史、以後が主対象。終了実績は未取得</x:v>
      </x:c>
      <x:c r="H23" s="18" t="n">
        <x:v>46326</x:v>
      </x:c>
      <x:c r="I23" s="7" t="str"/>
      <x:c r="J23" s="7" t="str"/>
      <x:c r="K23" s="7" t="str">
        <x:v>確認した資料では当該制度総額を特定せず</x:v>
      </x:c>
      <x:c r="L23" s="7" t="str">
        <x:v>locker_program</x:v>
      </x:c>
      <x:c r="M23" s="7" t="str">
        <x:v>S244
S123</x:v>
      </x:c>
      <x:c r="N23" s="7" t="str">
        <x:v>https://www.mlit.go.jp/report/press/road01_hh_000755.html</x:v>
      </x:c>
      <x:c r="O23" s="7" t="str">
        <x:v>https://www.city.yokohama.lg.jp/kurashi/machizukuri-kankyo/kotsu/toshikotsu/seisaku/kako/past.files/0150_20210203.pdf</x:v>
      </x:c>
      <x:c r="P23" s="7" t="str">
        <x:v>SRC-25f967230a
SRC-dc35151b94</x:v>
      </x:c>
    </x:row>
    <x:row r="24" ht="40.400001525878906" customHeight="1">
      <x:c r="A24" s="7" t="str">
        <x:v>rail_automation</x:v>
      </x:c>
      <x:c r="B24" s="7" t="str">
        <x:v>鉄道自動運転技術検討・導入普及</x:v>
      </x:c>
      <x:c r="C24" s="7" t="str">
        <x:v>国土交通省</x:v>
      </x:c>
      <x:c r="D24" s="7" t="str">
        <x:v>2018～</x:v>
      </x:c>
      <x:c r="E24" s="7" t="str">
        <x:v>一般路線の省力化と安全確保</x:v>
      </x:c>
      <x:c r="F24" s="7" t="str"/>
      <x:c r="G24" s="7" t="str">
        <x:v>2018検討開始、2022技術基本方針。道路のL4とGoAは同じ尺度ではない</x:v>
      </x:c>
      <x:c r="H24" s="18" t="n">
        <x:v>46326</x:v>
      </x:c>
      <x:c r="I24" s="7" t="str"/>
      <x:c r="J24" s="7" t="str"/>
      <x:c r="K24" s="7" t="str">
        <x:v>確認した資料では当該制度総額を特定せず</x:v>
      </x:c>
      <x:c r="L24" s="7" t="str">
        <x:v>rail_automation</x:v>
      </x:c>
      <x:c r="M24" s="7" t="str">
        <x:v>S273
S249</x:v>
      </x:c>
      <x:c r="N24" s="7" t="str">
        <x:v>https://www.mlit.go.jp/tetudo/tetudo_fr1_000058.html</x:v>
      </x:c>
      <x:c r="O24" s="7" t="str">
        <x:v>https://www.mlit.go.jp/report/press/tetsudo07_hh_000229.html</x:v>
      </x:c>
      <x:c r="P24" s="7" t="str">
        <x:v>SRC-1a249ce887
SRC-575495076f</x:v>
      </x:c>
    </x:row>
    <x:row r="25" ht="30" customHeight="1">
      <x:c r="A25" s="7" t="str">
        <x:v>rail_restructure</x:v>
      </x:c>
      <x:c r="B25" s="7" t="str">
        <x:v>ローカル鉄道・地域モビリティ再構築</x:v>
      </x:c>
      <x:c r="C25" s="7" t="str">
        <x:v>国土交通省</x:v>
      </x:c>
      <x:c r="D25" s="7" t="str">
        <x:v>2022～2026</x:v>
      </x:c>
      <x:c r="E25" s="7" t="str">
        <x:v>鉄道と地域の協働、輸送特性を踏まえた再構築</x:v>
      </x:c>
      <x:c r="F25" s="7" t="str"/>
      <x:c r="G25" s="7" t="str">
        <x:v>2023制度整備→2025第2期検討→2026-04方向性</x:v>
      </x:c>
      <x:c r="H25" s="18" t="n">
        <x:v>46326</x:v>
      </x:c>
      <x:c r="I25" s="7" t="str"/>
      <x:c r="J25" s="7" t="str"/>
      <x:c r="K25" s="7" t="str">
        <x:v>確認した資料では当該制度総額を特定せず</x:v>
      </x:c>
      <x:c r="L25" s="7" t="str">
        <x:v>rail_restructure</x:v>
      </x:c>
      <x:c r="M25" s="7" t="str">
        <x:v>S274</x:v>
      </x:c>
      <x:c r="N25" s="7" t="str">
        <x:v>https://www.mlit.go.jp/tetudo/tetudo_tk5_000011.html</x:v>
      </x:c>
      <x:c r="O25" s="7" t="str"/>
      <x:c r="P25" s="7" t="str">
        <x:v>SRC-836d74d5f5</x:v>
      </x:c>
    </x:row>
    <x:row r="26" ht="30" customHeight="1">
      <x:c r="A26" s="7" t="str">
        <x:v>sharecycle</x:v>
      </x:c>
      <x:c r="B26" s="7" t="str">
        <x:v>シェアサイクル普及・導入運営ガイドライン</x:v>
      </x:c>
      <x:c r="C26" s="7" t="str">
        <x:v>国土交通省</x:v>
      </x:c>
      <x:c r="D26" s="7" t="str">
        <x:v>2021～2023～</x:v>
      </x:c>
      <x:c r="E26" s="7" t="str">
        <x:v>公共交通補完、ポート配置、官民役割分担</x:v>
      </x:c>
      <x:c r="F26" s="7" t="str"/>
      <x:c r="G26" s="7" t="str">
        <x:v>2021税制措置・2023ガイドライン。MaaS連携ケースにも含む</x:v>
      </x:c>
      <x:c r="H26" s="18" t="n">
        <x:v>46326</x:v>
      </x:c>
      <x:c r="I26" s="7" t="str"/>
      <x:c r="J26" s="7" t="str"/>
      <x:c r="K26" s="7" t="str">
        <x:v>確認した資料では当該制度総額を特定せず</x:v>
      </x:c>
      <x:c r="L26" s="7" t="str">
        <x:v>sharecycle</x:v>
      </x:c>
      <x:c r="M26" s="7" t="str">
        <x:v>S254</x:v>
      </x:c>
      <x:c r="N26" s="7" t="str">
        <x:v>https://www.mlit.go.jp/road/bicycleuse/share-cycle/</x:v>
      </x:c>
      <x:c r="O26" s="7" t="str"/>
      <x:c r="P26" s="7" t="str">
        <x:v>SRC-4b64509089</x:v>
      </x:c>
    </x:row>
    <x:row r="27" ht="54.599998474121094" customHeight="1">
      <x:c r="A27" s="7" t="str">
        <x:v>portdx</x:v>
      </x:c>
      <x:c r="B27" s="7" t="str">
        <x:v>港湾CONPAS・Cyber Port等DX</x:v>
      </x:c>
      <x:c r="C27" s="7" t="str">
        <x:v>国土交通省</x:v>
      </x:c>
      <x:c r="D27" s="7" t="str">
        <x:v>2018～</x:v>
      </x:c>
      <x:c r="E27" s="7" t="str">
        <x:v>ゲート予約・事前照合で港湾待機と処理を改善</x:v>
      </x:c>
      <x:c r="F27" s="7" t="str"/>
      <x:c r="G27" s="7" t="str">
        <x:v>2018試行→2021南本牧本格運用→他ターミナル試行拡大</x:v>
      </x:c>
      <x:c r="H27" s="18" t="n">
        <x:v>46326</x:v>
      </x:c>
      <x:c r="I27" s="7" t="str"/>
      <x:c r="J27" s="7" t="str"/>
      <x:c r="K27" s="7" t="str">
        <x:v>確認した資料では当該制度総額を特定せず</x:v>
      </x:c>
      <x:c r="L27" s="7" t="str">
        <x:v>portdx</x:v>
      </x:c>
      <x:c r="M27" s="7" t="str">
        <x:v>S301
S231
S127</x:v>
      </x:c>
      <x:c r="N27" s="7" t="str">
        <x:v>https://www.pa.hrr.mlit.go.jp/file/kouwanshinkou/butsuryu/butsuryu-kanri/upload/R2_08.pdf</x:v>
      </x:c>
      <x:c r="O27" s="7" t="str">
        <x:v>https://www.mlit.go.jp/kowan/content/001499199.pdf
https://www.cyber-port.net/ja/information/detail/218</x:v>
      </x:c>
      <x:c r="P27" s="7" t="str">
        <x:v>SRC-13881242c6
SRC-9f9e8dec7d
SRC-20bc3a1de2</x:v>
      </x:c>
    </x:row>
    <x:row r="28" ht="40.400001525878906" customHeight="1">
      <x:c r="A28" s="7" t="str">
        <x:v>shipauto</x:v>
      </x:c>
      <x:c r="B28" s="7" t="str">
        <x:v>自動運航船技術実証・基準検討</x:v>
      </x:c>
      <x:c r="C28" s="7" t="str">
        <x:v>国土交通省</x:v>
      </x:c>
      <x:c r="D28" s="7" t="str">
        <x:v>FY2018～</x:v>
      </x:c>
      <x:c r="E28" s="7" t="str">
        <x:v>自動操船・遠隔操船・自動離着桟</x:v>
      </x:c>
      <x:c r="F28" s="7" t="str"/>
      <x:c r="G28" s="7" t="str">
        <x:v>2018実証→2024安全基準等WG、2030頃本格商用目標。民間MEGURI2040とは同一財源でない</x:v>
      </x:c>
      <x:c r="H28" s="18" t="n">
        <x:v>46326</x:v>
      </x:c>
      <x:c r="I28" s="7" t="str"/>
      <x:c r="J28" s="7" t="str"/>
      <x:c r="K28" s="7" t="str">
        <x:v>確認した資料では当該制度総額を特定せず</x:v>
      </x:c>
      <x:c r="L28" s="7" t="str">
        <x:v>shipauto</x:v>
      </x:c>
      <x:c r="M28" s="7" t="str">
        <x:v>S232
S233</x:v>
      </x:c>
      <x:c r="N28" s="7" t="str">
        <x:v>https://www.mlit.go.jp/maritime/maritime_fr7_000041.html</x:v>
      </x:c>
      <x:c r="O28" s="7" t="str">
        <x:v>https://www.mlit.go.jp/maritime/maritime_fr7_000047.html</x:v>
      </x:c>
      <x:c r="P28" s="7" t="str">
        <x:v>SRC-717c24acf5
SRC-86a449631b</x:v>
      </x:c>
    </x:row>
    <x:row r="29" ht="54.599998474121094" customHeight="1">
      <x:c r="A29" s="7" t="str">
        <x:v>airportauto</x:v>
      </x:c>
      <x:c r="B29" s="7" t="str">
        <x:v>空港制限区域内自動走行実証</x:v>
      </x:c>
      <x:c r="C29" s="7" t="str">
        <x:v>国土交通省</x:v>
      </x:c>
      <x:c r="D29" s="7" t="str">
        <x:v>FY2018～</x:v>
      </x:c>
      <x:c r="E29" s="7" t="str">
        <x:v>人員・手荷物・貨物地上輸送の省力化</x:v>
      </x:c>
      <x:c r="F29" s="7" t="str"/>
      <x:c r="G29" s="7" t="str">
        <x:v>空港内承認・運行環境は一般道路と区別。各社報告・ガイダンスを公開</x:v>
      </x:c>
      <x:c r="H29" s="18" t="n">
        <x:v>46326</x:v>
      </x:c>
      <x:c r="I29" s="7" t="str"/>
      <x:c r="J29" s="7" t="str"/>
      <x:c r="K29" s="7" t="str">
        <x:v>確認した資料では当該制度総額を特定せず</x:v>
      </x:c>
      <x:c r="L29" s="7" t="str">
        <x:v>airportauto</x:v>
      </x:c>
      <x:c r="M29" s="7" t="str">
        <x:v>S230
S285
S284</x:v>
      </x:c>
      <x:c r="N29" s="7" t="str">
        <x:v>https://www.mlit.go.jp/koku/koku_tk9_000103.html</x:v>
      </x:c>
      <x:c r="O29" s="7" t="str">
        <x:v>https://www.narita-airport.jp/ja/company/media-center/news/20181204-jidousoukou/
https://www.narita-airport.jp/ja/company/airport-operation/action/airnarita/automation/</x:v>
      </x:c>
      <x:c r="P29" s="7" t="str">
        <x:v>SRC-43225c1e53
SRC-8065d68bf7
SRC-0b54f721cb</x:v>
      </x:c>
    </x:row>
    <x:row r="30" ht="40.400001525878906" customHeight="1">
      <x:c r="A30" s="7" t="str">
        <x:v>lastmile</x:v>
      </x:c>
      <x:c r="B30" s="7" t="str">
        <x:v>ラストマイル自動運転実証（経産省・国交省）</x:v>
      </x:c>
      <x:c r="C30" s="7" t="str">
        <x:v>経済産業省</x:v>
      </x:c>
      <x:c r="D30" s="7" t="str">
        <x:v>2016年度–2020年度中心</x:v>
      </x:c>
      <x:c r="E30" s="7" t="str">
        <x:v>低速カート等、遠隔監視、複数車両管制からサービス化へ</x:v>
      </x:c>
      <x:c r="F30" s="7" t="str"/>
      <x:c r="G30" s="7" t="str"/>
      <x:c r="H30" s="18" t="str"/>
      <x:c r="I30" s="7" t="str">
        <x:v>2017輪島、2018北谷・永平寺・日立。永平寺2021 L3に接続</x:v>
      </x:c>
      <x:c r="J30" s="7" t="str">
        <x:v>2016年度は対象期間前半を含む。実証選定≠日常サービス成立</x:v>
      </x:c>
      <x:c r="K30" s="7" t="str"/>
      <x:c r="L30" s="7" t="str">
        <x:v>lastmile</x:v>
      </x:c>
      <x:c r="M30" s="7" t="str">
        <x:v>S224
S309</x:v>
      </x:c>
      <x:c r="N30" s="7" t="str">
        <x:v>https://www.mlit.go.jp/common/001263901.pdf</x:v>
      </x:c>
      <x:c r="O30" s="7" t="str">
        <x:v>https://www.road-to-the-l4.go.jp/publication/pdf/02-2_theme01_20260305.pdf</x:v>
      </x:c>
      <x:c r="P30" s="7" t="str">
        <x:v>SRC-449f8104ca
SRC-3022c44cce</x:v>
      </x:c>
    </x:row>
    <x:row r="31" ht="40.400001525878906" customHeight="1">
      <x:c r="A31" s="7" t="str">
        <x:v>platoon</x:v>
      </x:c>
      <x:c r="B31" s="7" t="str">
        <x:v>トラック隊列走行実証</x:v>
      </x:c>
      <x:c r="C31" s="7" t="str">
        <x:v>経済産業省</x:v>
      </x:c>
      <x:c r="D31" s="7" t="str">
        <x:v>2016年度–2020年度中心</x:v>
      </x:c>
      <x:c r="E31" s="7" t="str">
        <x:v>CACC・LKA、後続車運転席無人</x:v>
      </x:c>
      <x:c r="F31" s="7" t="str"/>
      <x:c r="G31" s="7" t="str"/>
      <x:c r="H31" s="18" t="str"/>
      <x:c r="I31" s="7" t="str">
        <x:v>2018有人隊列→2021/2運転席無人実証</x:v>
      </x:c>
      <x:c r="J31" s="7" t="str">
        <x:v>2021/2022商用化は当時目標。量産常用運行の達成を確認せず</x:v>
      </x:c>
      <x:c r="K31" s="7" t="str"/>
      <x:c r="L31" s="7" t="str">
        <x:v>platoon</x:v>
      </x:c>
      <x:c r="M31" s="7" t="str">
        <x:v>S241
S208</x:v>
      </x:c>
      <x:c r="N31" s="7" t="str">
        <x:v>https://www.mlit.go.jp/report/press/jidosha07_hh_000286.html</x:v>
      </x:c>
      <x:c r="O31" s="7" t="str">
        <x:v>https://www.meti.go.jp/policy/mono_info_service/mono/automobile/jido_soko/pdf/012_s01_00.pdf</x:v>
      </x:c>
      <x:c r="P31" s="7" t="str">
        <x:v>SRC-c5593d93c5
SRC-63ba9ee69f</x:v>
      </x:c>
    </x:row>
    <x:row r="32" ht="40.400001525878906" customHeight="1">
      <x:c r="A32" s="7" t="str">
        <x:v>roadl4</x:v>
      </x:c>
      <x:c r="B32" s="7" t="str">
        <x:v>RoAD to the L4</x:v>
      </x:c>
      <x:c r="C32" s="7" t="str">
        <x:v>経済産業省</x:v>
      </x:c>
      <x:c r="D32" s="7" t="str">
        <x:v>2021年度–2025年度（成果2026）</x:v>
      </x:c>
      <x:c r="E32" s="7" t="str">
        <x:v>旅客3テーマ・高速トラック・横断評価/標準化</x:v>
      </x:c>
      <x:c r="F32" s="7" t="str"/>
      <x:c r="G32" s="7" t="str"/>
      <x:c r="H32" s="18" t="str"/>
      <x:c r="I32" s="7" t="str">
        <x:v>永平寺2023、日立2025、柏2026の限定ODD L4。国全体の普及目標とは区別</x:v>
      </x:c>
      <x:c r="J32" s="7" t="str">
        <x:v>40地域等の当初目標と研究テーマ別実装を混同しない。有人乗務員/遠隔/保安体制と経費は別途評価</x:v>
      </x:c>
      <x:c r="K32" s="7" t="str"/>
      <x:c r="L32" s="7" t="str">
        <x:v>roadl4</x:v>
      </x:c>
      <x:c r="M32" s="7" t="str">
        <x:v>S308
S311</x:v>
      </x:c>
      <x:c r="N32" s="7" t="str">
        <x:v>https://www.road-to-the-l4.go.jp/publication/pdf/02-1_RTL4_5y_20260305.pdf</x:v>
      </x:c>
      <x:c r="O32" s="7" t="str">
        <x:v>https://www.road-to-the-l4.go.jp/publication/pdf/02-4_theme03_20260305.pdf</x:v>
      </x:c>
      <x:c r="P32" s="7" t="str">
        <x:v>SRC-ea3cb3b795
SRC-ff789031bc</x:v>
      </x:c>
    </x:row>
    <x:row r="33" ht="83" customHeight="1">
      <x:c r="A33" s="7" t="str">
        <x:v>smc</x:v>
      </x:c>
      <x:c r="B33" s="7" t="str">
        <x:v>スマートモビリティチャレンジ／地域新MaaS創出推進事業</x:v>
      </x:c>
      <x:c r="C33" s="7" t="str">
        <x:v>経済産業省</x:v>
      </x:c>
      <x:c r="D33" s="7" t="str">
        <x:v>2019年度–2025年度</x:v>
      </x:c>
      <x:c r="E33" s="7" t="str">
        <x:v>経産省地域実証・事業性分析、両省協議会による横展開</x:v>
      </x:c>
      <x:c r="F33" s="7" t="str"/>
      <x:c r="G33" s="7" t="str"/>
      <x:c r="H33" s="18" t="str"/>
      <x:c r="I33" s="7" t="str">
        <x:v>2019 13、2020 16、2021 14地域採択。2026総括73地域、17地域26事例実装。協議会2026/3終了</x:v>
      </x:c>
      <x:c r="J33" s="7" t="str">
        <x:v>地域数・事例数・類型別件数は母数が違う。調査時点2025/7–12。全国MaaSの成功/失敗率ではない</x:v>
      </x:c>
      <x:c r="K33" s="7" t="str"/>
      <x:c r="L33" s="7" t="str">
        <x:v>smc</x:v>
      </x:c>
      <x:c r="M33" s="7" t="str">
        <x:v>S210
S212
S213
S279</x:v>
      </x:c>
      <x:c r="N33" s="7" t="str">
        <x:v>https://www.meti.go.jp/policy/mono_info_service/smartcity/2022040508.pdf</x:v>
      </x:c>
      <x:c r="O33" s="7" t="str">
        <x:v>https://www.meti.go.jp/shingikai/mono_info_service/smart_mobility_challenge/pdf/20240328_04.pdf
https://www.meti.go.jp/shingikai/mono_info_service/smart_mobility_challenge/pdf/20260327_2.pdf
https://www.mobilitychallenge.go.jp/</x:v>
      </x:c>
      <x:c r="P33" s="7" t="str">
        <x:v>SRC-6985ffcd9c
SRC-8254ddf9aa
SRC-7ffa2cf4ca
SRC-3babd378b0</x:v>
      </x:c>
    </x:row>
    <x:row r="34" ht="40.400001525878906" customHeight="1">
      <x:c r="A34" s="7" t="str">
        <x:v>logistics</x:v>
      </x:c>
      <x:c r="B34" s="7" t="str">
        <x:v>物流MaaS</x:v>
      </x:c>
      <x:c r="C34" s="7" t="str">
        <x:v>経済産業省</x:v>
      </x:c>
      <x:c r="D34" s="7" t="str">
        <x:v>2020年代</x:v>
      </x:c>
      <x:c r="E34" s="7" t="str">
        <x:v>車両データ連携、共同輸送、自動荷役</x:v>
      </x:c>
      <x:c r="F34" s="7" t="str"/>
      <x:c r="G34" s="7" t="str"/>
      <x:c r="H34" s="18" t="str"/>
      <x:c r="I34" s="7" t="str">
        <x:v>2025共同輸送、2026自動荷役ガイド等。NLJ実荷物による段階実証</x:v>
      </x:c>
      <x:c r="J34" s="7" t="str">
        <x:v>ガイド/実証完了は物流費低下の実測と異なる</x:v>
      </x:c>
      <x:c r="K34" s="7" t="str"/>
      <x:c r="L34" s="7" t="str">
        <x:v>logistics</x:v>
      </x:c>
      <x:c r="M34" s="7" t="str">
        <x:v>S206
S209</x:v>
      </x:c>
      <x:c r="N34" s="7" t="str">
        <x:v>https://www.meti.go.jp/policy/mono_info_service/mono/automobile/automated-driving.html</x:v>
      </x:c>
      <x:c r="O34" s="7" t="str">
        <x:v>https://www.meti.go.jp/policy/mono_info_service/mono/automobile/pdf/bmaas2402_03nlj.pdf</x:v>
      </x:c>
      <x:c r="P34" s="7" t="str">
        <x:v>SRC-3197dcf70f
SRC-4a8df284a4</x:v>
      </x:c>
    </x:row>
    <x:row r="35" ht="54.599998474121094" customHeight="1">
      <x:c r="A35" s="7" t="str">
        <x:v>vpp</x:v>
      </x:c>
      <x:c r="B35" s="7" t="str">
        <x:v>VPP構築実証・V2G</x:v>
      </x:c>
      <x:c r="C35" s="7" t="str">
        <x:v>経済産業省</x:v>
      </x:c>
      <x:c r="D35" s="7" t="str">
        <x:v>2016年度–2020年度</x:v>
      </x:c>
      <x:c r="E35" s="7" t="str">
        <x:v>EV/PHEVを分散調整力化</x:v>
      </x:c>
      <x:c r="F35" s="7" t="str"/>
      <x:c r="G35" s="7" t="str"/>
      <x:c r="H35" s="18" t="str"/>
      <x:c r="I35" s="7" t="str">
        <x:v>TEPCO・九州で応答/追従性能と所有者条件を評価</x:v>
      </x:c>
      <x:c r="J35" s="7" t="str">
        <x:v>2016開始は前史含む。系統技術成立≠機器費・電池劣化を含む採算成立</x:v>
      </x:c>
      <x:c r="K35" s="7" t="str"/>
      <x:c r="L35" s="7" t="str">
        <x:v>vpp</x:v>
      </x:c>
      <x:c r="M35" s="7" t="str">
        <x:v>S202
S039
S007</x:v>
      </x:c>
      <x:c r="N35" s="7" t="str">
        <x:v>https://www.meti.go.jp/meti_lib/report/2020FY/000011.pdf</x:v>
      </x:c>
      <x:c r="O35" s="7" t="str">
        <x:v>https://sii.or.jp/vpp02/uploads/B2_tepco.pdf
https://criepi.denken.or.jp/hokokusho/pb/reportDetail?reportNoUkCode=GD21001</x:v>
      </x:c>
      <x:c r="P35" s="7" t="str">
        <x:v>SRC-52b06b1f93
SRC-32212cfeb1
SRC-ae053c7dd8</x:v>
      </x:c>
    </x:row>
    <x:row r="36" ht="40.400001525878906" customHeight="1">
      <x:c r="A36" s="7" t="str">
        <x:v>cev</x:v>
      </x:c>
      <x:c r="B36" s="7" t="str">
        <x:v>クリーンエネルギー自動車導入促進補助金</x:v>
      </x:c>
      <x:c r="C36" s="7" t="str">
        <x:v>経済産業省</x:v>
      </x:c>
      <x:c r="D36" s="7" t="str">
        <x:v>期間内継続</x:v>
      </x:c>
      <x:c r="E36" s="7" t="str">
        <x:v>EV/PHEV/FCV等導入支援</x:v>
      </x:c>
      <x:c r="F36" s="7" t="str"/>
      <x:c r="G36" s="7" t="str"/>
      <x:c r="H36" s="18" t="str"/>
      <x:c r="I36" s="7" t="str">
        <x:v>FY2025補正1,100億円、2024評価制度変更・2026見直し</x:v>
      </x:c>
      <x:c r="J36" s="7" t="str">
        <x:v>予算は執行・追加普及・CO2削減実績でない。購入補助と運行収支を分離</x:v>
      </x:c>
      <x:c r="K36" s="7" t="str"/>
      <x:c r="L36" s="7" t="str">
        <x:v>cev</x:v>
      </x:c>
      <x:c r="M36" s="7" t="str">
        <x:v>S143</x:v>
      </x:c>
      <x:c r="N36" s="7" t="str">
        <x:v>https://www.enecho.meti.go.jp/about/special/johoteikyo/automobile_industry_policy_02.html</x:v>
      </x:c>
      <x:c r="O36" s="7" t="str"/>
      <x:c r="P36" s="7" t="str">
        <x:v>SRC-007f173d67</x:v>
      </x:c>
    </x:row>
    <x:row r="37" ht="40.400001525878906" customHeight="1">
      <x:c r="A37" s="7" t="str">
        <x:v>charging</x:v>
      </x:c>
      <x:c r="B37" s="7" t="str">
        <x:v>充電・V2H等インフラ整備支援</x:v>
      </x:c>
      <x:c r="C37" s="7" t="str">
        <x:v>経済産業省</x:v>
      </x:c>
      <x:c r="D37" s="7" t="str">
        <x:v>期間内継続、2023指針</x:v>
      </x:c>
      <x:c r="E37" s="7" t="str">
        <x:v>普通/急速充電、V2H等支援</x:v>
      </x:c>
      <x:c r="F37" s="7" t="str"/>
      <x:c r="G37" s="7" t="str"/>
      <x:c r="H37" s="18" t="str"/>
      <x:c r="I37" s="7" t="str">
        <x:v>2030目標30万口。FY2024末6.8万口推計。FY2024補正360億+FY2025当初100億</x:v>
      </x:c>
      <x:c r="J37" s="7" t="str">
        <x:v>460億円は充電だけでなくV2H等含む支援枠。設置口数≠稼働率/故障率/待ち時間</x:v>
      </x:c>
      <x:c r="K37" s="7" t="str"/>
      <x:c r="L37" s="7" t="str">
        <x:v>charging</x:v>
      </x:c>
      <x:c r="M37" s="7" t="str">
        <x:v>S207</x:v>
      </x:c>
      <x:c r="N37" s="7" t="str">
        <x:v>https://www.meti.go.jp/policy/mono_info_service/mono/automobile/charging-infra-fukyu.html</x:v>
      </x:c>
      <x:c r="O37" s="7" t="str"/>
      <x:c r="P37" s="7" t="str">
        <x:v>SRC-3d547f8c0c</x:v>
      </x:c>
    </x:row>
    <x:row r="38" ht="30" customHeight="1">
      <x:c r="A38" s="7" t="str">
        <x:v>batterygi</x:v>
      </x:c>
      <x:c r="B38" s="7" t="str">
        <x:v>GI基金：次世代蓄電池・次世代モーター</x:v>
      </x:c>
      <x:c r="C38" s="7" t="str">
        <x:v>経済産業省</x:v>
      </x:c>
      <x:c r="D38" s="7" t="str">
        <x:v>2022年度–2030年度予定</x:v>
      </x:c>
      <x:c r="E38" s="7" t="str">
        <x:v>高密度電池、材料、省資源モーター、リサイクル</x:v>
      </x:c>
      <x:c r="F38" s="7" t="str"/>
      <x:c r="G38" s="7" t="str"/>
      <x:c r="H38" s="18" t="str"/>
      <x:c r="I38" s="7" t="str">
        <x:v>開始時NEDO支援規模1,510億円</x:v>
      </x:c>
      <x:c r="J38" s="7" t="str">
        <x:v>基金規模は累計実支出でない。2030目標・全固体量産を既達にしない</x:v>
      </x:c>
      <x:c r="K38" s="7" t="str"/>
      <x:c r="L38" s="7" t="str">
        <x:v>batterygi</x:v>
      </x:c>
      <x:c r="M38" s="7" t="str">
        <x:v>S293</x:v>
      </x:c>
      <x:c r="N38" s="7" t="str">
        <x:v>https://www.nedo.go.jp/news/press/AA5_101535.html</x:v>
      </x:c>
      <x:c r="O38" s="7" t="str"/>
      <x:c r="P38" s="7" t="str">
        <x:v>SRC-ff48fc5edf</x:v>
      </x:c>
    </x:row>
    <x:row r="39" ht="68.80000305175781" customHeight="1">
      <x:c r="A39" s="7" t="str">
        <x:v>smartgi</x:v>
      </x:c>
      <x:c r="B39" s="7" t="str">
        <x:v>GI基金：スマートモビリティ社会の構築</x:v>
      </x:c>
      <x:c r="C39" s="7" t="str">
        <x:v>経済産業省</x:v>
      </x:c>
      <x:c r="D39" s="7" t="str">
        <x:v>2022年度–2030年度予定</x:v>
      </x:c>
      <x:c r="E39" s="7" t="str">
        <x:v>商用電動車・運行・電力の一体最適化</x:v>
      </x:c>
      <x:c r="F39" s="7" t="str"/>
      <x:c r="G39" s="7" t="str"/>
      <x:c r="H39" s="18" t="str"/>
      <x:c r="I39" s="7" t="str">
        <x:v>開始時予算総額1,130億円（委託上限110億・助成上限1,020億）、福島/東京等の商用車実証</x:v>
      </x:c>
      <x:c r="J39" s="7" t="str">
        <x:v>需要・電力費・車両費の前提と利益責任が要。公表ビジョンの便益は実測と区別</x:v>
      </x:c>
      <x:c r="K39" s="7" t="str"/>
      <x:c r="L39" s="7" t="str">
        <x:v>smartgi</x:v>
      </x:c>
      <x:c r="M39" s="7" t="str">
        <x:v>S288
S010
S011
S294</x:v>
      </x:c>
      <x:c r="N39" s="7" t="str">
        <x:v>https://www.nedo.go.jp/content/100955752.pdf</x:v>
      </x:c>
      <x:c r="O39" s="7" t="str">
        <x:v>https://green-innovation.nedo.go.jp/project/smart-mobility-society/progress/
https://green-innovation.nedo.go.jp/resources/pdf/smart-mobility-society/item-002/vision-fukushima-koutu-003.pdf
https://www.nedo.go.jp/news/press/AA5_101560.html</x:v>
      </x:c>
      <x:c r="P39" s="7" t="str">
        <x:v>SRC-4217afd180
SRC-458513f969
SRC-c71fcdb9bd
SRC-d0ec6adda0</x:v>
      </x:c>
    </x:row>
    <x:row r="40" ht="40.400001525878906" customHeight="1">
      <x:c r="A40" s="7" t="str">
        <x:v>dress</x:v>
      </x:c>
      <x:c r="B40" s="7" t="str">
        <x:v>DRESS：ロボット・ドローンが活躍する省エネルギー社会</x:v>
      </x:c>
      <x:c r="C40" s="7" t="str">
        <x:v>経済産業省</x:v>
      </x:c>
      <x:c r="D40" s="7" t="str">
        <x:v>2017年度–2021年度</x:v>
      </x:c>
      <x:c r="E40" s="7" t="str">
        <x:v>安全/性能評価、運航管理、複数事業者連携</x:v>
      </x:c>
      <x:c r="F40" s="7" t="str"/>
      <x:c r="G40" s="7" t="str"/>
      <x:c r="H40" s="18" t="str"/>
      <x:c r="I40" s="7" t="str">
        <x:v>FY2020予算40億円。2021/10 13地域52機同時管理</x:v>
      </x:c>
      <x:c r="J40" s="7" t="str">
        <x:v>RTF試験密度や同時機数は常用配送の収益・欠航率でない</x:v>
      </x:c>
      <x:c r="K40" s="7" t="str"/>
      <x:c r="L40" s="7" t="str">
        <x:v>dress</x:v>
      </x:c>
      <x:c r="M40" s="7" t="str">
        <x:v>S291
S290</x:v>
      </x:c>
      <x:c r="N40" s="7" t="str">
        <x:v>https://www.nedo.go.jp/news/press/AA5_101385.html</x:v>
      </x:c>
      <x:c r="O40" s="7" t="str">
        <x:v>https://www.nedo.go.jp/media/practical-realization/202301kddi.html</x:v>
      </x:c>
      <x:c r="P40" s="7" t="str">
        <x:v>SRC-f1d7b73408
SRC-2a1c186ca3</x:v>
      </x:c>
    </x:row>
    <x:row r="41" ht="40.400001525878906" customHeight="1">
      <x:c r="A41" s="7" t="str">
        <x:v>reamo</x:v>
      </x:c>
      <x:c r="B41" s="7" t="str">
        <x:v>ReAMo：次世代空モビリティの社会実装</x:v>
      </x:c>
      <x:c r="C41" s="7" t="str">
        <x:v>経済産業省</x:v>
      </x:c>
      <x:c r="D41" s="7" t="str">
        <x:v>2022年度–2026年度</x:v>
      </x:c>
      <x:c r="E41" s="7" t="str">
        <x:v>ドローン・空飛ぶクルマの性能評価、1対多、空域協調</x:v>
      </x:c>
      <x:c r="F41" s="7" t="str"/>
      <x:c r="G41" s="7" t="str"/>
      <x:c r="H41" s="18" t="str"/>
      <x:c r="I41" s="7" t="str">
        <x:v>FY2026予算28億円、万博で2025空域管理PoC</x:v>
      </x:c>
      <x:c r="J41" s="7" t="str">
        <x:v>ドローン/航空機の技術成熟を分離。万博空域実証を商用旅客輸送開始に読み替えない</x:v>
      </x:c>
      <x:c r="K41" s="7" t="str"/>
      <x:c r="L41" s="7" t="str">
        <x:v>reamo</x:v>
      </x:c>
      <x:c r="M41" s="7" t="str">
        <x:v>S286
S037</x:v>
      </x:c>
      <x:c r="N41" s="7" t="str">
        <x:v>https://www.nedo.go.jp/activities/ZZJP2_100181.html</x:v>
      </x:c>
      <x:c r="O41" s="7" t="str">
        <x:v>https://reamo.nedo.go.jp/library/2026/03/03_JUIDA_Slides_260216.pdf</x:v>
      </x:c>
      <x:c r="P41" s="7" t="str">
        <x:v>SRC-1b84e22863
SRC-fc67d3588c</x:v>
      </x:c>
    </x:row>
    <x:row r="42" ht="97.19999694824219" customHeight="1">
      <x:c r="A42" s="7" t="str">
        <x:v>ENV-P01</x:v>
      </x:c>
      <x:c r="B42" s="7" t="str">
        <x:v>公共交通機関の低炭素化・利用促進設備整備から公共交通×脱炭素へ</x:v>
      </x:c>
      <x:c r="C42" s="7" t="str">
        <x:v>環境省</x:v>
      </x:c>
      <x:c r="D42" s="7" t="str">
        <x:v>2016年度の既存事業→2017～2018年度→2019～2027年度（2026年度途中）</x:v>
      </x:c>
      <x:c r="E42" s="7" t="str"/>
      <x:c r="F42" s="7" t="str">
        <x:v>観光地二次・三次交通、鉄道省エネからLRT/BRT/GSM等へ。2024年度BRT等は継続限定、2026年度にもGSM公募。名称変更を独立成果数としない。</x:v>
      </x:c>
      <x:c r="G42" s="7" t="str"/>
      <x:c r="H42" s="18" t="str"/>
      <x:c r="I42" s="7" t="str"/>
      <x:c r="J42" s="7" t="str">
        <x:v>募集・支援設備数は利用増やCO2因果効果を示さない。2016年度資料は期間前を含むため年度全体を対象期間実績に加算しない。</x:v>
      </x:c>
      <x:c r="K42" s="7" t="str">
        <x:v>年度: 2025
額（円）: 1100000000
区分: 予算・執行額ではない
年度: 2026
額（円）: 1020000000
区分: 予算・2026年10月31日時点年度途中</x:v>
      </x:c>
      <x:c r="L42" s="7" t="str">
        <x:v>ENV-P01</x:v>
      </x:c>
      <x:c r="M42" s="7" t="str">
        <x:v>S151
S148
S154
S168</x:v>
      </x:c>
      <x:c r="N42" s="7" t="str">
        <x:v>https://www.env.go.jp/content/900442061.pdf</x:v>
      </x:c>
      <x:c r="O42" s="7" t="str">
        <x:v>https://www.env.go.jp/content/000303692.pdf
https://www.env.go.jp/earth/earth/ondanka/enetoku/2026/?word=%E3%83%AC%E3%82%B8%E3%83%AA%E3%82%A8%E3%83%B3%E3%82%B9
https://www.env.go.jp/press/press_05761.html</x:v>
      </x:c>
      <x:c r="P42" s="7" t="str">
        <x:v>SRC-81bb6b746e
SRC-e6fbbaf5f1
SRC-675ff070ab
SRC-3cc5111d85</x:v>
      </x:c>
    </x:row>
    <x:row r="43" ht="54.599998474121094" customHeight="1">
      <x:c r="A43" s="7" t="str">
        <x:v>ENV-P02</x:v>
      </x:c>
      <x:c r="B43" s="7" t="str">
        <x:v>IoT活用グリーンスローモビリティの効果的運用実証・導入促進</x:v>
      </x:c>
      <x:c r="C43" s="7" t="str">
        <x:v>環境省</x:v>
      </x:c>
      <x:c r="D43" s="7" t="str">
        <x:v>2019～2021年度実証→その後の各地移行→2026年度公募</x:v>
      </x:c>
      <x:c r="E43" s="7" t="str"/>
      <x:c r="F43" s="7" t="str">
        <x:v>低速電動車、予約・配車、地域の運行主体を同時検証。後継の導入補助はP01の一部であり予算を二重計上しない。</x:v>
      </x:c>
      <x:c r="G43" s="7" t="str"/>
      <x:c r="H43" s="18" t="str"/>
      <x:c r="I43" s="7" t="str"/>
      <x:c r="J43" s="7" t="str">
        <x:v>低速ゆえ幹線道路・長距離・歩行困難者への限界、デジタル負担、無償労働を評価する。</x:v>
      </x:c>
      <x:c r="K43" s="7" t="str"/>
      <x:c r="L43" s="7" t="str">
        <x:v>ENV-P02</x:v>
      </x:c>
      <x:c r="M43" s="7" t="str">
        <x:v>S156
S146
S168</x:v>
      </x:c>
      <x:c r="N43" s="7" t="str">
        <x:v>https://www.env.go.jp/earth/earth/ondanka/green_slow_mobility/index.html</x:v>
      </x:c>
      <x:c r="O43" s="7" t="str">
        <x:v>https://www.env.go.jp/content/000126068.pdf
https://www.env.go.jp/press/press_05761.html</x:v>
      </x:c>
      <x:c r="P43" s="7" t="str">
        <x:v>SRC-858cecb7d2
SRC-34d5e30cc6
SRC-3cc5111d85</x:v>
      </x:c>
    </x:row>
    <x:row r="44" ht="54.599998474121094" customHeight="1">
      <x:c r="A44" s="7" t="str">
        <x:v>ENV-P03</x:v>
      </x:c>
      <x:c r="B44" s="7" t="str">
        <x:v>脱炭素イノベーションによる地域循環共生圏構築／CASE地域交通モデル</x:v>
      </x:c>
      <x:c r="C44" s="7" t="str">
        <x:v>環境省</x:v>
      </x:c>
      <x:c r="D44" s="7" t="str">
        <x:v>2020～2021年度採択確認</x:v>
      </x:c>
      <x:c r="E44" s="7" t="str"/>
      <x:c r="F44" s="7" t="str">
        <x:v>地域再エネ・分散エネルギーとCASE交通を統合。小田原、日光等を個別追跡。</x:v>
      </x:c>
      <x:c r="G44" s="7" t="str"/>
      <x:c r="H44" s="18" t="str"/>
      <x:c r="I44" s="7" t="str"/>
      <x:c r="J44" s="7" t="str">
        <x:v>採択主体数を成功件数としない。複数省庁・自治体・民間との寄与を区別。</x:v>
      </x:c>
      <x:c r="K44" s="7" t="str"/>
      <x:c r="L44" s="7" t="str">
        <x:v>ENV-P03</x:v>
      </x:c>
      <x:c r="M44" s="7" t="str">
        <x:v>S162
S163
S096</x:v>
      </x:c>
      <x:c r="N44" s="7" t="str">
        <x:v>https://www.env.go.jp/press/108692.html</x:v>
      </x:c>
      <x:c r="O44" s="7" t="str">
        <x:v>https://www.env.go.jp/press/109781.html
https://www.city.odawara.kanagawa.jp/field/envi/energy/electric_vehicle/ki-20200148.html</x:v>
      </x:c>
      <x:c r="P44" s="7" t="str">
        <x:v>SRC-cad9c8908f
SRC-5c578ad767
SRC-3f73b78582</x:v>
      </x:c>
    </x:row>
    <x:row r="45" ht="54.599998474121094" customHeight="1">
      <x:c r="A45" s="7" t="str">
        <x:v>ENV-P04</x:v>
      </x:c>
      <x:c r="B45" s="7" t="str">
        <x:v>再エネ×電動車同時導入によるカーシェア・防災拠点化</x:v>
      </x:c>
      <x:c r="C45" s="7" t="str">
        <x:v>環境省</x:v>
      </x:c>
      <x:c r="D45" s="7" t="str">
        <x:v>2021年度補正→2022年3月公募・後続年度へ</x:v>
      </x:c>
      <x:c r="E45" s="7" t="str"/>
      <x:c r="F45" s="7" t="str">
        <x:v>公用・社用EV等を平常時にシェアし再エネと非常用給電を組み合わせる。</x:v>
      </x:c>
      <x:c r="G45" s="7" t="str"/>
      <x:c r="H45" s="18" t="str"/>
      <x:c r="I45" s="7" t="str"/>
      <x:c r="J45" s="7" t="str">
        <x:v>原則車両2台以上等。災害時だけの貸出や専用カーシェアだけとは要件が異なる。実災害での供給実績と訓練・設備能力を分ける。</x:v>
      </x:c>
      <x:c r="K45" s="7" t="str">
        <x:v>年度: 2021補正
額（円）: 1000000000
区分: 予算</x:v>
      </x:c>
      <x:c r="L45" s="7" t="str">
        <x:v>ENV-P04</x:v>
      </x:c>
      <x:c r="M45" s="7" t="str">
        <x:v>S150
S164
S152</x:v>
      </x:c>
      <x:c r="N45" s="7" t="str">
        <x:v>https://www.env.go.jp/content/900441906.pdf</x:v>
      </x:c>
      <x:c r="O45" s="7" t="str">
        <x:v>https://www.env.go.jp/press/110740.html
https://www.env.go.jp/content/900502155.pdf</x:v>
      </x:c>
      <x:c r="P45" s="7" t="str">
        <x:v>SRC-727e544f4c
SRC-7392e4491e
SRC-b6855910f0</x:v>
      </x:c>
    </x:row>
    <x:row r="46" ht="68.80000305175781" customHeight="1">
      <x:c r="A46" s="7" t="str">
        <x:v>ENV-P05</x:v>
      </x:c>
      <x:c r="B46" s="7" t="str">
        <x:v>地域脱炭素移行・再エネ推進交付金：脱炭素先行地域／重点対策加速化</x:v>
      </x:c>
      <x:c r="C46" s="7" t="str">
        <x:v>環境省</x:v>
      </x:c>
      <x:c r="D46" s="7" t="str">
        <x:v>2022年度以降（2026年度途中）</x:v>
      </x:c>
      <x:c r="E46" s="7" t="str"/>
      <x:c r="F46" s="7" t="str">
        <x:v>地域全体の電力・熱・移動を統合。毎年度進捗、概ね3年目中間評価、最終評価へ。ゼロカーボンシティ宣言は別の意思表明指標。</x:v>
      </x:c>
      <x:c r="G46" s="7" t="str"/>
      <x:c r="H46" s="18" t="str"/>
      <x:c r="I46" s="7" t="str"/>
      <x:c r="J46" s="7" t="str">
        <x:v>主目標は民生電力CO2実質ゼロ。交通全体のゼロ達成を意味しない。区域外走行・観光流入、他省庁財源、撤退を追う。</x:v>
      </x:c>
      <x:c r="K46" s="7" t="str"/>
      <x:c r="L46" s="7" t="str">
        <x:v>ENV-P05</x:v>
      </x:c>
      <x:c r="M46" s="7" t="str">
        <x:v>S027
S145
S025
S084</x:v>
      </x:c>
      <x:c r="N46" s="7" t="str">
        <x:v>https://policies.env.go.jp/policy/roadmap/preceding-region/</x:v>
      </x:c>
      <x:c r="O46" s="7" t="str">
        <x:v>https://www.env.go.jp/content/000099395.pdf
https://policies.env.go.jp/policy/roadmap/assets/preceding-region/kanto-R6-shinchoku-joukyou-hokokusyo-02.pdf#page=1
https://www.city.matsumoto.nagano.jp/site/yokosomayorsoffice/178856.html</x:v>
      </x:c>
      <x:c r="P46" s="7" t="str">
        <x:v>SRC-96c044bd76
SRC-4b469435ff
SRC-8004a9d509
SRC-251a6bcb0a</x:v>
      </x:c>
    </x:row>
    <x:row r="47" ht="54.599998474121094" customHeight="1">
      <x:c r="A47" s="7" t="str">
        <x:v>ENV-P06</x:v>
      </x:c>
      <x:c r="B47" s="7" t="str">
        <x:v>商用車等の電動化促進（環境・国交・経産連携）</x:v>
      </x:c>
      <x:c r="C47" s="7" t="str">
        <x:v>環境省</x:v>
      </x:c>
      <x:c r="D47" s="7" t="str">
        <x:v>2023年度以降→2025年度補正／2026年執行</x:v>
      </x:c>
      <x:c r="E47" s="7" t="str"/>
      <x:c r="F47" s="7" t="str">
        <x:v>トラック・バス・タクシー等と一体充電設備。近時は建設機械も含む。</x:v>
      </x:c>
      <x:c r="G47" s="7" t="str"/>
      <x:c r="H47" s="18" t="str"/>
      <x:c r="I47" s="7" t="str"/>
      <x:c r="J47" s="7" t="str">
        <x:v>交付台数、納車台数、稼働台数、燃料削減を分離。上記は概算要求ではなく補正資料。</x:v>
      </x:c>
      <x:c r="K47" s="7" t="str">
        <x:v>年度: 2025補正
額（円）: 30000000000
区分: 予算；別記の3年国庫債務負担60億円を単純加算しない</x:v>
      </x:c>
      <x:c r="L47" s="7" t="str">
        <x:v>ENV-P06</x:v>
      </x:c>
      <x:c r="M47" s="7" t="str">
        <x:v>S149
S165
S154</x:v>
      </x:c>
      <x:c r="N47" s="7" t="str">
        <x:v>https://www.env.go.jp/content/000356399.pdf</x:v>
      </x:c>
      <x:c r="O47" s="7" t="str">
        <x:v>https://www.env.go.jp/press/press_02957.html
https://www.env.go.jp/earth/earth/ondanka/enetoku/2026/?word=%E3%83%AC%E3%82%B8%E3%83%AA%E3%82%A8%E3%83%B3%E3%82%B9</x:v>
      </x:c>
      <x:c r="P47" s="7" t="str">
        <x:v>SRC-194d232a22
SRC-d86ad7b571
SRC-675ff070ab</x:v>
      </x:c>
    </x:row>
    <x:row r="48" ht="54.599998474121094" customHeight="1">
      <x:c r="A48" s="7" t="str">
        <x:v>ENV-P07</x:v>
      </x:c>
      <x:c r="B48" s="7" t="str">
        <x:v>配送拠点のエネルギーステーション化／電池交換式EV物流</x:v>
      </x:c>
      <x:c r="C48" s="7" t="str">
        <x:v>環境省</x:v>
      </x:c>
      <x:c r="D48" s="7" t="str">
        <x:v>2020～2024年度（2024年度継続のみ）</x:v>
      </x:c>
      <x:c r="E48" s="7" t="str"/>
      <x:c r="F48" s="7" t="str">
        <x:v>郵便二輪等の交換式電池と拠点エネルギー運用を支援。FY2020には郵便電動二輪2000台の導入支援。</x:v>
      </x:c>
      <x:c r="G48" s="7" t="str"/>
      <x:c r="H48" s="18" t="str"/>
      <x:c r="I48" s="7" t="str"/>
      <x:c r="J48" s="7" t="str">
        <x:v>台数は支援アウトプット。交換池数、寿命、電源、稼働率を含む実測TCO・LCAは別途必要。</x:v>
      </x:c>
      <x:c r="K48" s="7" t="str">
        <x:v>年度: 2024
額（円）: 593000000
区分: 予算；前年度850百万円</x:v>
      </x:c>
      <x:c r="L48" s="7" t="str">
        <x:v>ENV-P07</x:v>
      </x:c>
      <x:c r="M48" s="7" t="str">
        <x:v>S153
S160</x:v>
      </x:c>
      <x:c r="N48" s="7" t="str">
        <x:v>https://www.env.go.jp/earth/earth/ondanka/enetoku/2024/?word=%E3%82%BC%E3%83%AD%E3%82%AB%E3%83%BC%E3%83%9C%E3%83%B3%E3%82%B7%E3%83%86%E3%82%A3</x:v>
      </x:c>
      <x:c r="O48" s="7" t="str">
        <x:v>https://www.env.go.jp/policy/hakusyo/r03/html/hj21010201.html</x:v>
      </x:c>
      <x:c r="P48" s="7" t="str">
        <x:v>SRC-008ea08a9d
SRC-0bd9935111</x:v>
      </x:c>
    </x:row>
    <x:row r="49" ht="54.599998474121094" customHeight="1">
      <x:c r="A49" s="7" t="str">
        <x:v>ENV-P08</x:v>
      </x:c>
      <x:c r="B49" s="7" t="str">
        <x:v>運輸部門等の脱炭素化に向けた先進的システム社会実装促進</x:v>
      </x:c>
      <x:c r="C49" s="7" t="str">
        <x:v>環境省</x:v>
      </x:c>
      <x:c r="D49" s="7" t="str">
        <x:v>2024～2028年度等（農機部分2025～2027年度）</x:v>
      </x:c>
      <x:c r="E49" s="7" t="str"/>
      <x:c r="F49" s="7" t="str">
        <x:v>EVエネルギー管理、無線充電、電池状態評価、自動配送・ドローン等のシステム実証。</x:v>
      </x:c>
      <x:c r="G49" s="7" t="str"/>
      <x:c r="H49" s="18" t="str"/>
      <x:c r="I49" s="7" t="str"/>
      <x:c r="J49" s="7" t="str">
        <x:v>自動運転搭載だけでは省エネや運転者不足解消を実証しない。待機・監視・空走を含めて評価。</x:v>
      </x:c>
      <x:c r="K49" s="7" t="str">
        <x:v>年度: 2026
額（円）: 1415000000
区分: 予算・年度途中</x:v>
      </x:c>
      <x:c r="L49" s="7" t="str">
        <x:v>ENV-P08</x:v>
      </x:c>
      <x:c r="M49" s="7" t="str">
        <x:v>S155</x:v>
      </x:c>
      <x:c r="N49" s="7" t="str">
        <x:v>https://www.env.go.jp/earth/earth/ondanka/enetoku/pamphlet/pdf/2026/enetoku_jigyo_gaiyo_2026-R8.pdf</x:v>
      </x:c>
      <x:c r="O49" s="7" t="str"/>
      <x:c r="P49" s="7" t="str">
        <x:v>SRC-04fb8f7ad1</x:v>
      </x:c>
    </x:row>
    <x:row r="50" ht="40.400001525878906" customHeight="1">
      <x:c r="A50" s="7" t="str">
        <x:v>ENV-P09</x:v>
      </x:c>
      <x:c r="B50" s="7" t="str">
        <x:v>CO2排出削減対策強化誘導型等の技術開発・実証</x:v>
      </x:c>
      <x:c r="C50" s="7" t="str">
        <x:v>環境省</x:v>
      </x:c>
      <x:c r="D50" s="7" t="str">
        <x:v>期間全体、代表例2017～2020年度</x:v>
      </x:c>
      <x:c r="E50" s="7" t="str"/>
      <x:c r="F50" s="7" t="str">
        <x:v>車両・充電・回生電力・蓄電池等の要素とシステムを開発。FCバスの2013～2015年度開発は背景で対象期間成果と二重計上しない。</x:v>
      </x:c>
      <x:c r="G50" s="7" t="str"/>
      <x:c r="H50" s="18" t="str"/>
      <x:c r="I50" s="7" t="str"/>
      <x:c r="J50" s="7" t="str">
        <x:v>将来市場拡張を仮定した削減量・削減単価と、実証時の実測効果を厳密分離。</x:v>
      </x:c>
      <x:c r="K50" s="7" t="str"/>
      <x:c r="L50" s="7" t="str">
        <x:v>ENV-P09</x:v>
      </x:c>
      <x:c r="M50" s="7" t="str">
        <x:v>S157
S158</x:v>
      </x:c>
      <x:c r="N50" s="7" t="str">
        <x:v>https://www.env.go.jp/earth/ondanka/cpttv_funds/db/</x:v>
      </x:c>
      <x:c r="O50" s="7" t="str">
        <x:v>https://www.env.go.jp/earth/ondanka/cpttv_funds/pdf/db/222.pdf</x:v>
      </x:c>
      <x:c r="P50" s="7" t="str">
        <x:v>SRC-052833d4c2
SRC-b7e7392af8</x:v>
      </x:c>
    </x:row>
    <x:row r="51" ht="68.80000305175781" customHeight="1">
      <x:c r="A51" s="7" t="str">
        <x:v>ENV-P10</x:v>
      </x:c>
      <x:c r="B51" s="7" t="str">
        <x:v>地域連携・低炭素水素技術実証と地域サプライチェーン</x:v>
      </x:c>
      <x:c r="C51" s="7" t="str">
        <x:v>環境省</x:v>
      </x:c>
      <x:c r="D51" s="7" t="str">
        <x:v>2015年度開始の継続案件→2017開所等→2020/2021年度終了・2022事業化例</x:v>
      </x:c>
      <x:c r="E51" s="7" t="str"/>
      <x:c r="F51" s="7" t="str">
        <x:v>再エネ・家畜ふん尿・副生水素をFCV、フォークリフト、バス等へ。</x:v>
      </x:c>
      <x:c r="G51" s="7" t="str"/>
      <x:c r="H51" s="18" t="str"/>
      <x:c r="I51" s="7" t="str"/>
      <x:c r="J51" s="7" t="str">
        <x:v>2015開始は対象外背景、2016年10月31日以降の出来事のみ追跡。水素製造・輸送・貯蔵・設備稼働率をLCAで評価。</x:v>
      </x:c>
      <x:c r="K51" s="7" t="str"/>
      <x:c r="L51" s="7" t="str">
        <x:v>ENV-P10</x:v>
      </x:c>
      <x:c r="M51" s="7" t="str">
        <x:v>S173
S174
S161
S012</x:v>
      </x:c>
      <x:c r="N51" s="7" t="str">
        <x:v>https://www.env.go.jp/seisaku/list/ondanka_saisei/lowcarbon-h2-sc/company/PDF/demonstration_summary.pdf</x:v>
      </x:c>
      <x:c r="O51" s="7" t="str">
        <x:v>https://www.env.go.jp/seisaku/list/ondanka_saisei/lowcarbon-h2-sc/support-tool-info/PDF_Excel/support-tool_lca-guide_ver2-1.pdf
https://www.env.go.jp/press/103519.html
https://hokkaido.env.go.jp/content/000066911.pdf</x:v>
      </x:c>
      <x:c r="P51" s="7" t="str">
        <x:v>SRC-28fec0efe3
SRC-b7b3891ed5
SRC-0638f0fbc7
SRC-9c34acf210</x:v>
      </x:c>
    </x:row>
    <x:row r="52" ht="40.400001525878906" customHeight="1">
      <x:c r="A52" s="7" t="str">
        <x:v>ENV-P11</x:v>
      </x:c>
      <x:c r="B52" s="7" t="str">
        <x:v>ナッジ／ナッジ×デジタルのEV充電行動実証</x:v>
      </x:c>
      <x:c r="C52" s="7" t="str">
        <x:v>環境省</x:v>
      </x:c>
      <x:c r="D52" s="7" t="str">
        <x:v>2017年BEST発足→2022年度以降デジタル事業→2023実験・2024結果</x:v>
      </x:c>
      <x:c r="E52" s="7" t="str"/>
      <x:c r="F52" s="7" t="str">
        <x:v>再エネ比率の高い昼の充電へ情報・比較・小額報酬で行動転換を検証。</x:v>
      </x:c>
      <x:c r="G52" s="7" t="str"/>
      <x:c r="H52" s="18" t="str"/>
      <x:c r="I52" s="7" t="str"/>
      <x:c r="J52" s="7" t="str">
        <x:v>無作為割付は比較的強い短期因果証拠。ただし複合介入、顧客選択、数週間から長期定着・全EV利用者へ外挿不可。</x:v>
      </x:c>
      <x:c r="K52" s="7" t="str"/>
      <x:c r="L52" s="7" t="str">
        <x:v>ENV-P11</x:v>
      </x:c>
      <x:c r="M52" s="7" t="str">
        <x:v>S166
S167</x:v>
      </x:c>
      <x:c r="N52" s="7" t="str">
        <x:v>https://www.env.go.jp/press/press_03007.html</x:v>
      </x:c>
      <x:c r="O52" s="7" t="str">
        <x:v>https://www.env.go.jp/press/press_03240.html</x:v>
      </x:c>
      <x:c r="P52" s="7" t="str">
        <x:v>SRC-e87e180e50
SRC-d57a84a0d3</x:v>
      </x:c>
    </x:row>
    <x:row r="53" ht="97.19999694824219" customHeight="1">
      <x:c r="A53" s="7" t="str">
        <x:v>DIG-P01</x:v>
      </x:c>
      <x:c r="B53" s="7" t="str">
        <x:v>官民ITS構想・ロードマップ（前身政策）</x:v>
      </x:c>
      <x:c r="C53" s="7" t="str">
        <x:v>内閣官房IT総合戦略室
IT総合戦略本部・官民データ活用推進戦略会議</x:v>
      </x:c>
      <x:c r="D53" s="7" t="str">
        <x:v>2016–2021（2016版は調査開始前策定を継承）</x:v>
      </x:c>
      <x:c r="E53" s="7" t="str"/>
      <x:c r="F53" s="7" t="str">
        <x:v>2017実証・標準化→2018物流隊列と制度・運用→2019データ/地図/社会受容性→2020データ連携とアーキテクチャ→2021まで継続。2022未来構想へ発展的継承。</x:v>
      </x:c>
      <x:c r="G53" s="7" t="str"/>
      <x:c r="H53" s="18" t="str"/>
      <x:c r="I53" s="7" t="str">
        <x:v>年次工程表・施策責任分担。
地域の持続利用・費用対効果はプログラム採択数と区別しケース別に記録。</x:v>
      </x:c>
      <x:c r="J53" s="7" t="str">
        <x:v>デジタル庁発足以前の政策を同庁実績としない。工程表上の市場化年は実現実績ではない。</x:v>
      </x:c>
      <x:c r="K53" s="7" t="str"/>
      <x:c r="L53" s="7" t="str">
        <x:v>DIG-P01</x:v>
      </x:c>
      <x:c r="M53" s="7" t="str">
        <x:v>S006
S255
S004
S005
S141
S138</x:v>
      </x:c>
      <x:c r="N53" s="7" t="str">
        <x:v>https://cio.go.jp/sites/default/files/uploads/documents/its_roadmapkeiitopoint.pdf</x:v>
      </x:c>
      <x:c r="O53" s="7" t="str">
        <x:v>https://www.mlit.go.jp/road/ir/ir-council/nls/pdf01/12.pdf
https://cio.go.jp/sites/default/files/uploads/documents/its_roadmap_2019_point.pdf
https://cio.go.jp/sites/default/files/uploads/documents/its_roadmap_2020.pdf
https://www.digital.go.jp/policies/mobility
https://www.digital.go.jp/news/uWAA9Dcp</x:v>
      </x:c>
      <x:c r="P53" s="7" t="str">
        <x:v>SRC-98d450e0f0
SRC-a23526fc00
SRC-292f7ff35f
SRC-81c89f14ae
SRC-af66eca641
SRC-a2849c4e36</x:v>
      </x:c>
    </x:row>
    <x:row r="54" ht="54.599998474121094" customHeight="1">
      <x:c r="A54" s="7" t="str">
        <x:v>DIG-P02</x:v>
      </x:c>
      <x:c r="B54" s="7" t="str">
        <x:v>SIP第1期 自動走行システム</x:v>
      </x:c>
      <x:c r="C54" s="7" t="str">
        <x:v>内閣府CSTI
NEDO
警察庁・総務省・経済産業省・国土交通省</x:v>
      </x:c>
      <x:c r="D54" s="7" t="str">
        <x:v>2014–2018年度（調査対象は2016-10以降）</x:v>
      </x:c>
      <x:c r="E54" s="7" t="str"/>
      <x:c r="F54" s="7" t="str">
        <x:v>2017-10公道大規模実証を開始、2019に成果公表。</x:v>
      </x:c>
      <x:c r="G54" s="7" t="str"/>
      <x:c r="H54" s="18" t="str"/>
      <x:c r="I54" s="7" t="str">
        <x:v>高精度3D地図・HMI・サイバーセキュリティ等。自動車専用道路約3万kmの地図商用配信。
地域の持続利用・費用対効果はプログラム採択数と区別しケース別に記録。</x:v>
      </x:c>
      <x:c r="J54" s="7" t="str">
        <x:v>地図商用化は自動運転交通サービスの採算確立と同義でない。</x:v>
      </x:c>
      <x:c r="K54" s="7" t="str"/>
      <x:c r="L54" s="7" t="str">
        <x:v>DIG-P02</x:v>
      </x:c>
      <x:c r="M54" s="7" t="str">
        <x:v>S335
S330
S314</x:v>
      </x:c>
      <x:c r="N54" s="7" t="str">
        <x:v>https://www8.cao.go.jp/koutu/taisaku/h30kou_haku/zenbun/genkyo/feature/feature_02.html</x:v>
      </x:c>
      <x:c r="O54" s="7" t="str">
        <x:v>https://www5.cao.go.jp/keizai-shimon/kaigi/special/reform/wg7/20191101/shiryou1_part5.pdf
https://www.sip-adus.go.jp/showcase/a1.html</x:v>
      </x:c>
      <x:c r="P54" s="7" t="str">
        <x:v>SRC-a57cb5713e
SRC-5383f67624
SRC-7cea9604ac</x:v>
      </x:c>
    </x:row>
    <x:row r="55" ht="83" customHeight="1">
      <x:c r="A55" s="7" t="str">
        <x:v>DIG-P03</x:v>
      </x:c>
      <x:c r="B55" s="7" t="str">
        <x:v>SIP第2期 自動運転（システムとサービスの拡張）</x:v>
      </x:c>
      <x:c r="C55" s="7" t="str">
        <x:v>内閣府CSTI
NEDO
関係省庁</x:v>
      </x:c>
      <x:c r="D55" s="7" t="str">
        <x:v>2018–2022年度</x:v>
      </x:c>
      <x:c r="E55" s="7" t="str"/>
      <x:c r="F55" s="7" t="str">
        <x:v>東京臨海部のV2I→2021 V2N情報配信、中山間道の駅サービス、データ流通、安全性評価、社会受容性を拡張。</x:v>
      </x:c>
      <x:c r="G55" s="7" t="str"/>
      <x:c r="H55" s="18" t="str"/>
      <x:c r="I55" s="7" t="str">
        <x:v>東京臨海部22機関参加（2021年度）、道の駅かみこあに本格導入、MD communet。
地域の持続利用・費用対効果はプログラム採択数と区別しケース別に記録。</x:v>
      </x:c>
      <x:c r="J55" s="7" t="str">
        <x:v>東京実験を地域通年運行や全域L4と数えない。SIP終了後の運用主体・設備費負担は個別確認。</x:v>
      </x:c>
      <x:c r="K55" s="7" t="str"/>
      <x:c r="L55" s="7" t="str">
        <x:v>DIG-P03</x:v>
      </x:c>
      <x:c r="M55" s="7" t="str">
        <x:v>S314
S292
S315
S313
S245</x:v>
      </x:c>
      <x:c r="N55" s="7" t="str">
        <x:v>https://www.sip-adus.go.jp/showcase/a1.html</x:v>
      </x:c>
      <x:c r="O55" s="7" t="str">
        <x:v>https://www.nedo.go.jp/news/press/AA5_101482.html
https://www.sip-adus.go.jp/sip/file/sip_2022_plan_s.pdf
https://www.sip-adus.go.jp/exhibition/e2.html
https://www.mlit.go.jp/report/press/road01_hh_001258.html</x:v>
      </x:c>
      <x:c r="P55" s="7" t="str">
        <x:v>SRC-7cea9604ac
SRC-807860fc7e
SRC-60de26032e
SRC-39c18d9fd9
SRC-d434c18491</x:v>
      </x:c>
    </x:row>
    <x:row r="56" ht="83" customHeight="1">
      <x:c r="A56" s="7" t="str">
        <x:v>DIG-P04</x:v>
      </x:c>
      <x:c r="B56" s="7" t="str">
        <x:v>SIP第3期 スマートモビリティプラットフォームの構築</x:v>
      </x:c>
      <x:c r="C56" s="7" t="str">
        <x:v>内閣府CSTI
NEDO
経済産業省</x:v>
      </x:c>
      <x:c r="D56" s="7" t="str">
        <x:v>2023–2027年度（16/17は2024開始）</x:v>
      </x:c>
      <x:c r="E56" s="7" t="str"/>
      <x:c r="F56" s="7" t="str">
        <x:v>車両技術から地域交通再設計、福祉・まちづくり、データ空間、担い手育成へ範囲拡張。2026-06-04計画改定。</x:v>
      </x:c>
      <x:c r="G56" s="7" t="str"/>
      <x:c r="H56" s="18" t="str"/>
      <x:c r="I56" s="7" t="str">
        <x:v>17採択テーマ。JMDS、地域診断・アクセシビリティ、路車協調、福祉効果検証。
地域の持続利用・費用対効果はプログラム採択数と区別しケース別に記録。</x:v>
      </x:c>
      <x:c r="J56" s="7" t="str">
        <x:v>17件全てが2026にも継続ではない。BOLDLYテーマ15は2024年度末、日野テーマ16は2025年度末終了。終了理由未確定、失敗とは断定不可。</x:v>
      </x:c>
      <x:c r="K56" s="7" t="str">
        <x:v>2025年度（円）: 1846000000
定義: NEDO実施方針の事業規模。変動あり、総事業費・執行額ではない。</x:v>
      </x:c>
      <x:c r="L56" s="7" t="str">
        <x:v>DIG-P04</x:v>
      </x:c>
      <x:c r="M56" s="7" t="str">
        <x:v>S044
S040
S289
S042
S043</x:v>
      </x:c>
      <x:c r="N56" s="7" t="str">
        <x:v>https://sip3.nedo.go.jp/smartmobility/theme/index.html</x:v>
      </x:c>
      <x:c r="O56" s="7" t="str">
        <x:v>https://sip3.nedo.go.jp/smartmobility/about/index.html
https://www.nedo.go.jp/content/800021379.pdf
https://sip3.nedo.go.jp/smartmobility/theme/15/index.html
https://sip3.nedo.go.jp/smartmobility/theme/16/index.html</x:v>
      </x:c>
      <x:c r="P56" s="7" t="str">
        <x:v>SRC-19aba14d34
SRC-780b5aff93
SRC-6846081d05
SRC-23d9646bd1
SRC-62046980c6</x:v>
      </x:c>
    </x:row>
    <x:row r="57" ht="54.599998474121094" customHeight="1">
      <x:c r="A57" s="7" t="str">
        <x:v>DIG-P05</x:v>
      </x:c>
      <x:c r="B57" s="7" t="str">
        <x:v>未来技術社会実装事業</x:v>
      </x:c>
      <x:c r="C57" s="7" t="str">
        <x:v>内閣府地方創生
関係府省
地方自治体</x:v>
      </x:c>
      <x:c r="D57" s="7" t="str">
        <x:v>2018年度～</x:v>
      </x:c>
      <x:c r="E57" s="7" t="str"/>
      <x:c r="F57" s="7" t="str">
        <x:v>AI・IoT・自動運転・ドローン等を地域課題に実装。地域実装協議会を介して許認可・技術・関係支援策を組み合わせる。</x:v>
      </x:c>
      <x:c r="G57" s="7" t="str"/>
      <x:c r="H57" s="18" t="str"/>
      <x:c r="I57" s="7" t="str">
        <x:v>2018選定事業の2021-03取りまとめ。
地域の持続利用・費用対効果はプログラム採択数と区別しケース別に記録。</x:v>
      </x:c>
      <x:c r="J57" s="7" t="str">
        <x:v>独立した車両購入補助制度と誤解しない。国交省道路局導入支援・地方創生交付金等と重複計上を防ぐ。</x:v>
      </x:c>
      <x:c r="K57" s="7" t="str"/>
      <x:c r="L57" s="7" t="str">
        <x:v>DIG-P05</x:v>
      </x:c>
      <x:c r="M57" s="7" t="str">
        <x:v>S066</x:v>
      </x:c>
      <x:c r="N57" s="7" t="str">
        <x:v>https://www.chisou.go.jp/tiiki/kinmirai/pdf/01_mirai_h30torimatome.pdf</x:v>
      </x:c>
      <x:c r="O57" s="7" t="str"/>
      <x:c r="P57" s="7" t="str">
        <x:v>SRC-b7027fcd32</x:v>
      </x:c>
    </x:row>
    <x:row r="58" ht="40.400001525878906" customHeight="1">
      <x:c r="A58" s="7" t="str">
        <x:v>DIG-P06</x:v>
      </x:c>
      <x:c r="B58" s="7" t="str">
        <x:v>データ利活用型スマートシティ推進事業</x:v>
      </x:c>
      <x:c r="C58" s="7" t="str">
        <x:v>総務省
自治体・企業</x:v>
      </x:c>
      <x:c r="D58" s="7" t="str">
        <x:v>2017年度～</x:v>
      </x:c>
      <x:c r="E58" s="7" t="str"/>
      <x:c r="F58" s="7" t="str">
        <x:v>防災・観光等のデータ基盤から交通・福祉等への分野横断を志向。</x:v>
      </x:c>
      <x:c r="G58" s="7" t="str"/>
      <x:c r="H58" s="18" t="str"/>
      <x:c r="I58" s="7" t="str">
        <x:v>高松市など2017-07交付決定。
地域の持続利用・費用対効果はプログラム採択数と区別しケース別に記録。</x:v>
      </x:c>
      <x:c r="J58" s="7" t="str">
        <x:v>都市OS導入数は交通サービス利用成果を保証しない。2017時点の交通展開構想と実装を区別。</x:v>
      </x:c>
      <x:c r="K58" s="7" t="str"/>
      <x:c r="L58" s="7" t="str">
        <x:v>DIG-P06</x:v>
      </x:c>
      <x:c r="M58" s="7" t="str">
        <x:v>S117
S331</x:v>
      </x:c>
      <x:c r="N58" s="7" t="str">
        <x:v>https://www.city.takamatsu.kagawa.jp/kurashi/shichoushitsu/hatsugen/teirei/h29/290802.html</x:v>
      </x:c>
      <x:c r="O58" s="7" t="str">
        <x:v>https://www8.cao.go.jp/cstp/stmain/2019808smartcity.html</x:v>
      </x:c>
      <x:c r="P58" s="7" t="str">
        <x:v>SRC-f6967212a7
SRC-a45d8967c7</x:v>
      </x:c>
    </x:row>
    <x:row r="59" ht="83" customHeight="1">
      <x:c r="A59" s="7" t="str">
        <x:v>DIG-P07</x:v>
      </x:c>
      <x:c r="B59" s="7" t="str">
        <x:v>スマートシティ官民連携プラットフォーム</x:v>
      </x:c>
      <x:c r="C59" s="7" t="str">
        <x:v>内閣府
総務省
経済産業省
国土交通省
デジタル庁（2022-02参加）</x:v>
      </x:c>
      <x:c r="D59" s="7" t="str">
        <x:v>2019–2026</x:v>
      </x:c>
      <x:c r="E59" s="7" t="str"/>
      <x:c r="F59" s="7" t="str">
        <x:v>2019-08-08に4府省・473団体で発足、2022にデジタル庁参加。</x:v>
      </x:c>
      <x:c r="G59" s="7" t="str"/>
      <x:c r="H59" s="18" t="str"/>
      <x:c r="I59" s="7" t="str">
        <x:v>事業マッチング、共有、府省一体支援。
地域の持続利用・費用対効果はプログラム採択数と区別しケース別に記録。</x:v>
      </x:c>
      <x:c r="J59" s="7" t="str">
        <x:v>会員数を導入地域数や事業成果数として数えない。</x:v>
      </x:c>
      <x:c r="K59" s="7" t="str"/>
      <x:c r="L59" s="7" t="str">
        <x:v>DIG-P07</x:v>
      </x:c>
      <x:c r="M59" s="7" t="str">
        <x:v>S331
S256</x:v>
      </x:c>
      <x:c r="N59" s="7" t="str">
        <x:v>https://www8.cao.go.jp/cstp/stmain/2019808smartcity.html</x:v>
      </x:c>
      <x:c r="O59" s="7" t="str">
        <x:v>https://www.mlit.go.jp/scpf/archives/docs/event_seminar220316_all.pdf</x:v>
      </x:c>
      <x:c r="P59" s="7" t="str">
        <x:v>SRC-a45d8967c7
SRC-f40220283e</x:v>
      </x:c>
    </x:row>
    <x:row r="60" ht="54.599998474121094" customHeight="1">
      <x:c r="A60" s="7" t="str">
        <x:v>DIG-P08</x:v>
      </x:c>
      <x:c r="B60" s="7" t="str">
        <x:v>スマートシティ・リファレンスアーキテクチャ／ガイドブック</x:v>
      </x:c>
      <x:c r="C60" s="7" t="str">
        <x:v>内閣府
SIP2サイバー空間基盤
関係府省</x:v>
      </x:c>
      <x:c r="D60" s="7" t="str">
        <x:v>2020–2026</x:v>
      </x:c>
      <x:c r="E60" s="7" t="str"/>
      <x:c r="F60" s="7" t="str">
        <x:v>2020第1版→2023第2版。都市OSとサービス、データ、運営・戦略の関係を共通化。</x:v>
      </x:c>
      <x:c r="G60" s="7" t="str"/>
      <x:c r="H60" s="18" t="str"/>
      <x:c r="I60" s="7" t="str">
        <x:v>共通参照モデル・ガイド。
地域の持続利用・費用対効果はプログラム採択数と区別しケース別に記録。</x:v>
      </x:c>
      <x:c r="J60" s="7" t="str">
        <x:v>API標準化とデータ利用許諾、責任、運用費の契約合意は別。標準採用を便益の実証としない。</x:v>
      </x:c>
      <x:c r="K60" s="7" t="str"/>
      <x:c r="L60" s="7" t="str">
        <x:v>DIG-P08</x:v>
      </x:c>
      <x:c r="M60" s="7" t="str">
        <x:v>S332
S334</x:v>
      </x:c>
      <x:c r="N60" s="7" t="str">
        <x:v>https://www8.cao.go.jp/cstp/stmain/20200318siparchitecture.html</x:v>
      </x:c>
      <x:c r="O60" s="7" t="str">
        <x:v>https://www8.cao.go.jp/cstp/stmain/20230810smartcity.html</x:v>
      </x:c>
      <x:c r="P60" s="7" t="str">
        <x:v>SRC-fa7a544041
SRC-13f574ea28</x:v>
      </x:c>
    </x:row>
    <x:row r="61" ht="40.400001525878906" customHeight="1">
      <x:c r="A61" s="7" t="str">
        <x:v>DIG-P09</x:v>
      </x:c>
      <x:c r="B61" s="7" t="str">
        <x:v>デジタルを活用した交通社会の未来2022</x:v>
      </x:c>
      <x:c r="C61" s="7" t="str">
        <x:v>デジタル庁
デジタル社会推進会議幹事会</x:v>
      </x:c>
      <x:c r="D61" s="7" t="str">
        <x:v>2022–2023</x:v>
      </x:c>
      <x:c r="E61" s="7" t="str"/>
      <x:c r="F61" s="7" t="str">
        <x:v>2022-08-01決定。官民ITS構想を継承し、人/物・地上/空を横断するデジタル交通社会のアーキテクチャへ。</x:v>
      </x:c>
      <x:c r="G61" s="7" t="str"/>
      <x:c r="H61" s="18" t="str"/>
      <x:c r="I61" s="7" t="str">
        <x:v>全移動モード・データ連携を対象化。
地域の持続利用・費用対効果はプログラム採択数と区別しケース別に記録。</x:v>
      </x:c>
      <x:c r="J61" s="7" t="str">
        <x:v>概念文書と地域採択事業を混同しない。</x:v>
      </x:c>
      <x:c r="K61" s="7" t="str"/>
      <x:c r="L61" s="7" t="str">
        <x:v>DIG-P09</x:v>
      </x:c>
      <x:c r="M61" s="7" t="str">
        <x:v>S141</x:v>
      </x:c>
      <x:c r="N61" s="7" t="str">
        <x:v>https://www.digital.go.jp/policies/mobility</x:v>
      </x:c>
      <x:c r="O61" s="7" t="str"/>
      <x:c r="P61" s="7" t="str">
        <x:v>SRC-af66eca641</x:v>
      </x:c>
    </x:row>
    <x:row r="62" ht="125.5999984741211" customHeight="1">
      <x:c r="A62" s="7" t="str">
        <x:v>DIG-P10</x:v>
      </x:c>
      <x:c r="B62" s="7" t="str">
        <x:v>モビリティ・ロードマップ／モビリティWG</x:v>
      </x:c>
      <x:c r="C62" s="7" t="str">
        <x:v>デジタル庁
デジタル社会推進会議
関係府省</x:v>
      </x:c>
      <x:c r="D62" s="7" t="str">
        <x:v>2023–2026</x:v>
      </x:c>
      <x:c r="E62" s="7" t="str"/>
      <x:c r="F62" s="7" t="str">
        <x:v>2023-12 WG初回→2024サービス持続性・社会ルール→2025交通商社機能・先行地域→2026需給一体再設計、E2E AI、1対N監視・通信・事故原因究明・合理的分業。</x:v>
      </x:c>
      <x:c r="G62" s="7" t="str"/>
      <x:c r="H62" s="18" t="str"/>
      <x:c r="I62" s="7" t="str">
        <x:v>年次工程表、13先行地域、役割分担。
地域の持続利用・費用対効果はプログラム採択数と区別しケース別に記録。</x:v>
      </x:c>
      <x:c r="J62" s="7" t="str">
        <x:v>2030年度1万台・2030年代世界販売シェア約25%は目標。2026時点で大半が実証段階と自己評価。</x:v>
      </x:c>
      <x:c r="K62" s="7" t="str"/>
      <x:c r="L62" s="7" t="str">
        <x:v>DIG-P10</x:v>
      </x:c>
      <x:c r="M62" s="7" t="str">
        <x:v>S136
S130
S132
S129
S131</x:v>
      </x:c>
      <x:c r="N62" s="7" t="str">
        <x:v>https://www.digital.go.jp/councils/mobility-working-group</x:v>
      </x:c>
      <x:c r="O62" s="7" t="str">
        <x:v>https://www.digital.go.jp/assets/contents/node/basic_page/field_ref_resources/2415ad00-6a79-4ebc-8fb1-51a47b1b0552/12f4e4f4/20240621_mobility-working-group_summary_01.pdf
https://www.digital.go.jp/assets/contents/node/basic_page/field_ref_resources/2415ad00-6a79-4ebc-8fb1-51a47b1b0552/b1e4eee0/20250613_resources_mobility_policy_01.pdf
https://www.digital.go.jp/assets/contents/node/basic_page/field_ref_resources/2415ad00-6a79-4ebc-8fb1-51a47b1b0552/11045673/20260721_meeting_mobility_01.pdf
https://www.digital.go.jp/assets/contents/node/basic_page/field_ref_resources/2415ad00-6a79-4ebc-8fb1-51a47b1b0552/9efd41a7/20260721_meeting_mobility_02.pdf</x:v>
      </x:c>
      <x:c r="P62" s="7" t="str">
        <x:v>SRC-15606c8ca9
SRC-ec89da6096
SRC-58d6252d1d
SRC-d458f87443
SRC-f6cb688da7</x:v>
      </x:c>
    </x:row>
    <x:row r="63" ht="54.599998474121094" customHeight="1">
      <x:c r="A63" s="7" t="str">
        <x:v>DIG-P11</x:v>
      </x:c>
      <x:c r="B63" s="7" t="str">
        <x:v>自動運転社会実装先行的事業化地域事業</x:v>
      </x:c>
      <x:c r="C63" s="7" t="str">
        <x:v>デジタル庁
関係府省庁
地方自治体</x:v>
      </x:c>
      <x:c r="D63" s="7" t="str">
        <x:v>2025年度公募／2026支援～</x:v>
      </x:c>
      <x:c r="E63" s="7" t="str"/>
      <x:c r="F63" s="7" t="str">
        <x:v>2025-12公募、2026-03に13地域。2027年度を目途に事業化するモデルの構築。</x:v>
      </x:c>
      <x:c r="G63" s="7" t="str"/>
      <x:c r="H63" s="18" t="str"/>
      <x:c r="I63" s="7" t="str">
        <x:v>横浜・堺・神戸（最新技術型）、日立・塩尻（拡大型）、仙台・つくば・川崎・平塚・小松・愛知・京都・三豊（課題解決型）。
地域の持続利用・費用対効果はプログラム採択数と区別しケース別に記録。</x:v>
      </x:c>
      <x:c r="J63" s="7" t="str">
        <x:v>13選定を13地域L4実装完了と数えない。補助金審査の加点・優先実施であり個別許可や補助金交付の自動保証ではない。</x:v>
      </x:c>
      <x:c r="K63" s="7" t="str"/>
      <x:c r="L63" s="7" t="str">
        <x:v>DIG-P11</x:v>
      </x:c>
      <x:c r="M63" s="7" t="str">
        <x:v>S142
S135</x:v>
      </x:c>
      <x:c r="N63" s="7" t="str">
        <x:v>https://www.digital.go.jp/policies/mobility/a71c2b0b-0506-43de-b7f8-2cb20172752a</x:v>
      </x:c>
      <x:c r="O63" s="7" t="str">
        <x:v>https://www.digital.go.jp/assets/contents/node/basic_page/field_ref_resources/a71c2b0b-0506-43de-b7f8-2cb20172752a/c2d27e05/20260113_policies_mobility_r7earlyareas_06.pdf</x:v>
      </x:c>
      <x:c r="P63" s="7" t="str">
        <x:v>SRC-91022ef486
SRC-7f8e9cdf06</x:v>
      </x:c>
    </x:row>
    <x:row r="64" ht="83" customHeight="1">
      <x:c r="A64" s="7" t="str">
        <x:v>DIG-P12</x:v>
      </x:c>
      <x:c r="B64" s="7" t="str">
        <x:v>デジタル田園都市国家構想と地方創生交付金の系列</x:v>
      </x:c>
      <x:c r="C64" s="7" t="str">
        <x:v>内閣官房・内閣府地方創生
デジタル庁（基盤・実装支援）
地方自治体</x:v>
      </x:c>
      <x:c r="D64" s="7" t="str">
        <x:v>2021年度補正–2026</x:v>
      </x:c>
      <x:c r="E64" s="7" t="str"/>
      <x:c r="F64" s="7" t="str">
        <x:v>2021補正推進交付金→デジ田交付金→2025新しい地方経済・生活環境創生交付金→2026地域未来交付金。TYPE1等でAI交通・バスロケ、TYPE2/3等で複数サービス連携。</x:v>
      </x:c>
      <x:c r="G64" s="7" t="str"/>
      <x:c r="H64" s="18" t="str"/>
      <x:c r="I64" s="7" t="str">
        <x:v>初期投資・デジタル実装と自治体による効果検証。
地域の持続利用・費用対効果はプログラム採択数と区別しケース別に記録。</x:v>
      </x:c>
      <x:c r="J64" s="7" t="str">
        <x:v>年度ごとの名称・類型・対象経費差に注意。初期費支援と恒久運営費・交通運行補助を分ける。デジタル庁単独の補助金としない。</x:v>
      </x:c>
      <x:c r="K64" s="7" t="str">
        <x:v>2021年度補正（円）: 20000000000
定義: 創設時デジ田推進交付金全体、交通分野専用額ではない。</x:v>
      </x:c>
      <x:c r="L64" s="7" t="str">
        <x:v>DIG-P12</x:v>
      </x:c>
      <x:c r="M64" s="7" t="str">
        <x:v>S061
S065
S062
S063
S139</x:v>
      </x:c>
      <x:c r="N64" s="7" t="str">
        <x:v>https://www.cao.go.jp/minister/2111_s_noda/kaiken/20220318kaiken.html</x:v>
      </x:c>
      <x:c r="O64" s="7" t="str">
        <x:v>https://www.chisou.go.jp/sousei/about/shinchihoukouhukin/digital/index.html
https://www.chisou.go.jp/sousei/about/chiikimiraikoufukin/index.html
https://www.chisou.go.jp/sousei/about/chiikimiraikoufukin/pdf/chiikimiraikouhukin_2025digital_koufuyoukou.pdf
https://www.digital.go.jp/policies/digital_garden_city_nation</x:v>
      </x:c>
      <x:c r="P64" s="7" t="str">
        <x:v>SRC-789ae32241
SRC-5cf5383cae
SRC-730b20ee66
SRC-da7ad753ec
SRC-56d3235213</x:v>
      </x:c>
    </x:row>
    <x:row r="65" ht="97.19999694824219" customHeight="1">
      <x:c r="A65" s="7" t="str">
        <x:v>DIG-P13</x:v>
      </x:c>
      <x:c r="B65" s="7" t="str">
        <x:v>エリアデータ連携基盤・推奨モジュール・共同利用</x:v>
      </x:c>
      <x:c r="C65" s="7" t="str">
        <x:v>デジタル庁
DSA
地方自治体・運営主体</x:v>
      </x:c>
      <x:c r="D65" s="7" t="str">
        <x:v>2022–2026</x:v>
      </x:c>
      <x:c r="E65" s="7" t="str"/>
      <x:c r="F65" s="7" t="str">
        <x:v>APIゲートウェイ、非パーソナル/パーソナルのブローカー推奨。2025共同利用ガイド第2版、2026運用支援報告。</x:v>
      </x:c>
      <x:c r="G65" s="7" t="str"/>
      <x:c r="H65" s="18" t="str"/>
      <x:c r="I65" s="7" t="str">
        <x:v>共通部品・共同利用ガイド・自治体支援。
地域の持続利用・費用対効果はプログラム採択数と区別しケース別に記録。</x:v>
      </x:c>
      <x:c r="J65" s="7" t="str">
        <x:v>OSS無料でも運用、接続、同意、個人認証、セキュリティ、人材が無償になるわけではない。データ主権と受託者変更時の移管要件を別途確認。</x:v>
      </x:c>
      <x:c r="K65" s="7" t="str"/>
      <x:c r="L65" s="7" t="str">
        <x:v>DIG-P13</x:v>
      </x:c>
      <x:c r="M65" s="7" t="str">
        <x:v>S140
S134
S133</x:v>
      </x:c>
      <x:c r="N65" s="7" t="str">
        <x:v>https://www.digital.go.jp/policies/digital_garden_city_nation/area-data-coordination-platform</x:v>
      </x:c>
      <x:c r="O65" s="7" t="str">
        <x:v>https://www.digital.go.jp/assets/contents/node/basic_page/field_ref_resources/84c08375-e8c4-440f-8ef4-521a4a36ed9f/a87ac6b5/20250901_policies_digital-garden-city-nation_guideline-of-area-data-coordination-platform_02.pdf
https://www.digital.go.jp/assets/contents/node/basic_page/field_ref_resources/82a1ea56-128f-4cf6-bbd5-9ef6d4b7bafc/fbcd8e86/20260413_policies_budget_entrustment_deliverables_report_outline_01.pdf</x:v>
      </x:c>
      <x:c r="P65" s="7" t="str">
        <x:v>SRC-81596a932d
SRC-9ab498aac5
SRC-9622d84fa1</x:v>
      </x:c>
    </x:row>
    <x:row r="66" ht="54.599998474121094" customHeight="1">
      <x:c r="A66" s="7" t="str">
        <x:v>DIG-P14</x:v>
      </x:c>
      <x:c r="B66" s="7" t="str">
        <x:v>課題解決型ローカル5G等の開発実証（モビリティ）</x:v>
      </x:c>
      <x:c r="C66" s="7" t="str">
        <x:v>総務省
事務局
地域コンソーシアム</x:v>
      </x:c>
      <x:c r="D66" s="7" t="str">
        <x:v>2020–2022年度の系列</x:v>
      </x:c>
      <x:c r="E66" s="7" t="str"/>
      <x:c r="F66" s="7" t="str">
        <x:v>ローカル5G/キャリア5Gと路車協調・遠隔監視を検証。</x:v>
      </x:c>
      <x:c r="G66" s="7" t="str"/>
      <x:c r="H66" s="18" t="str"/>
      <x:c r="I66" s="7" t="str">
        <x:v>2021前橋・沼津等の実証。
地域の持続利用・費用対効果はプログラム採択数と区別しケース別に記録。</x:v>
      </x:c>
      <x:c r="J66" s="7" t="str">
        <x:v>キャリア5Gとローカル5Gを区別。安全要員同乗の実証を無人L4運行と呼ばない。全分野採択数を交通事例数としない。</x:v>
      </x:c>
      <x:c r="K66" s="7" t="str"/>
      <x:c r="L66" s="7" t="str">
        <x:v>DIG-P14</x:v>
      </x:c>
      <x:c r="M66" s="7" t="str">
        <x:v>S175</x:v>
      </x:c>
      <x:c r="N66" s="7" t="str">
        <x:v>https://www.gunma-u.ac.jp/information/84393</x:v>
      </x:c>
      <x:c r="O66" s="7" t="str"/>
      <x:c r="P66" s="7" t="str">
        <x:v>SRC-f76df920ec</x:v>
      </x:c>
    </x:row>
    <x:row r="67" ht="54.599998474121094" customHeight="1">
      <x:c r="A67" s="7" t="str">
        <x:v>DIG-P15</x:v>
      </x:c>
      <x:c r="B67" s="7" t="str">
        <x:v>地域デジタル基盤活用推進／地域社会DX推進パッケージ：自動運転L4検証タイプ</x:v>
      </x:c>
      <x:c r="C67" s="7" t="str">
        <x:v>総務省
三菱総合研究所（事務局）
地域コンソーシアム</x:v>
      </x:c>
      <x:c r="D67" s="7" t="str">
        <x:v>2024–2026確認</x:v>
      </x:c>
      <x:c r="E67" s="7" t="str"/>
      <x:c r="F67" s="7" t="str">
        <x:v>R6 7地域の成果→R7 10採択枠中福山市取下げ→R8 12地域概要。2026-03通信モデル集第2版。</x:v>
      </x:c>
      <x:c r="G67" s="7" t="str"/>
      <x:c r="H67" s="18" t="str"/>
      <x:c r="I67" s="7" t="str">
        <x:v>トンネル、不感地帯、混雑、複数台監視、緊急車両連携、路車協調等。
地域の持続利用・費用対効果はプログラム採択数と区別しケース別に記録。</x:v>
      </x:c>
      <x:c r="J67" s="7" t="str">
        <x:v>報告書は通信条件別検証。L4許可、通年運行、利用便益の実証とは別。R7福山取下げを母数から隠さない。</x:v>
      </x:c>
      <x:c r="K67" s="7" t="str"/>
      <x:c r="L67" s="7" t="str">
        <x:v>DIG-P15</x:v>
      </x:c>
      <x:c r="M67" s="7" t="str">
        <x:v>S036</x:v>
      </x:c>
      <x:c r="N67" s="7" t="str">
        <x:v>https://pubpjt.mri.co.jp/pjt_related/rcsad-info/index.html</x:v>
      </x:c>
      <x:c r="O67" s="7" t="str"/>
      <x:c r="P67" s="7" t="str">
        <x:v>SRC-dd614f096b</x:v>
      </x:c>
    </x:row>
    <x:row r="68" ht="68.80000305175781" customHeight="1">
      <x:c r="A68" s="7" t="str">
        <x:v>DIG-P16</x:v>
      </x:c>
      <x:c r="B68" s="7" t="str">
        <x:v>デジタルライフライン全国総合整備計画／整備事業</x:v>
      </x:c>
      <x:c r="C68" s="7" t="str">
        <x:v>経済産業省
NEDO
IPA DADC
デジタル庁・デジタル行財政改革会議</x:v>
      </x:c>
      <x:c r="D68" s="7" t="str">
        <x:v>2024–2026</x:v>
      </x:c>
      <x:c r="E68" s="7" t="str"/>
      <x:c r="F68" s="7" t="str">
        <x:v>2024計画・先行実証→2025–26システム開発/拡張。支援道、ドローン航路、インフラ管理DX、奥能登。</x:v>
      </x:c>
      <x:c r="G68" s="7" t="str"/>
      <x:c r="H68" s="18" t="str"/>
      <x:c r="I68" s="7" t="str">
        <x:v>新東名・日立等の実証、仕様書・参照実装公開。
地域の持続利用・費用対効果はプログラム採択数と区別しケース別に記録。</x:v>
      </x:c>
      <x:c r="J68" s="7" t="str">
        <x:v>経産省担当との重複管理対象。計画・研究開発額と全国道路整備総額を混同しない。</x:v>
      </x:c>
      <x:c r="K68" s="7" t="str">
        <x:v>2026年度（円）: 110000000
定義: NEDO当該整備事業の2026年度予算、計画全体の費用ではない。</x:v>
      </x:c>
      <x:c r="L68" s="7" t="str">
        <x:v>DIG-P16</x:v>
      </x:c>
      <x:c r="M68" s="7" t="str">
        <x:v>S204
S205
S287</x:v>
      </x:c>
      <x:c r="N68" s="7" t="str">
        <x:v>https://www.meti.go.jp/policy/mono_info_service/digital_architecture/keikaku.pdf</x:v>
      </x:c>
      <x:c r="O68" s="7" t="str">
        <x:v>https://www.meti.go.jp/policy/mono_info_service/digital_architecture/lifeline/jitugen2-siryou3.pdf
https://www.nedo.go.jp/activities/ZZJP_100332.html</x:v>
      </x:c>
      <x:c r="P68" s="7" t="str">
        <x:v>SRC-e6fc31a150
SRC-27f9707c1a
SRC-5590a31409</x:v>
      </x:c>
    </x:row>
    <x:row r="69" ht="54.599998474121094" customHeight="1">
      <x:c r="A69" s="7" t="str">
        <x:v>DIG-P17</x:v>
      </x:c>
      <x:c r="B69" s="7" t="str">
        <x:v>自律移動ロボット／3次元空間情報基盤アーキテクチャ</x:v>
      </x:c>
      <x:c r="C69" s="7" t="str">
        <x:v>デジタル庁
IPA DADC
関係省庁</x:v>
      </x:c>
      <x:c r="D69" s="7" t="str">
        <x:v>2022–2026</x:v>
      </x:c>
      <x:c r="E69" s="7" t="str"/>
      <x:c r="F69" s="7" t="str">
        <x:v>2022にデジタル庁依頼を受けDADCが運用主体をまたぐシステム連携を設計・報告。</x:v>
      </x:c>
      <x:c r="G69" s="7" t="str"/>
      <x:c r="H69" s="18" t="str"/>
      <x:c r="I69" s="7" t="str">
        <x:v>自律移動ロボット・3D空間情報の設計報告。
地域の持続利用・費用対効果はプログラム採択数と区別しケース別に記録。</x:v>
      </x:c>
      <x:c r="J69" s="7" t="str">
        <x:v>報告書公開とロボットサービス普及を区別。データ更新・利用権・事故責任は現場実装ごとに確認。</x:v>
      </x:c>
      <x:c r="K69" s="7" t="str"/>
      <x:c r="L69" s="7" t="str">
        <x:v>DIG-P17</x:v>
      </x:c>
      <x:c r="M69" s="7" t="str">
        <x:v>S141</x:v>
      </x:c>
      <x:c r="N69" s="7" t="str">
        <x:v>https://www.digital.go.jp/policies/mobility</x:v>
      </x:c>
      <x:c r="O69" s="7" t="str"/>
      <x:c r="P69" s="7" t="str">
        <x:v>SRC-af66eca641</x:v>
      </x:c>
    </x:row>
    <x:row r="70" ht="40.400001525878906" customHeight="1">
      <x:c r="A70" s="7" t="str">
        <x:v>OTHER-P01</x:v>
      </x:c>
      <x:c r="B70" s="7" t="str">
        <x:v>デジ活中山間地域</x:v>
      </x:c>
      <x:c r="C70" s="7" t="str">
        <x:v>農林水産省と関係府省</x:v>
      </x:c>
      <x:c r="D70" s="7" t="str">
        <x:v>2023–2026</x:v>
      </x:c>
      <x:c r="E70" s="7" t="str">
        <x:v>農業の仕事づくりと生活課題を連動し、交通・物流・医療福祉等の施策を横断紹介。登録と実装成功は別。</x:v>
      </x:c>
      <x:c r="F70" s="7" t="str"/>
      <x:c r="G70" s="7" t="str"/>
      <x:c r="H70" s="18" t="str"/>
      <x:c r="I70" s="7" t="str">
        <x:v>2026-08-28時点39道府県141登録地域。モビリティ実証141件という意味ではない。</x:v>
      </x:c>
      <x:c r="J70" s="7" t="str"/>
      <x:c r="K70" s="7" t="str"/>
      <x:c r="L70" s="7" t="str">
        <x:v>OTHER-P01</x:v>
      </x:c>
      <x:c r="M70" s="7" t="str">
        <x:v>S201</x:v>
      </x:c>
      <x:c r="N70" s="7" t="str">
        <x:v>https://www.maff.go.jp/j/nousin/digikatsu/index.html</x:v>
      </x:c>
      <x:c r="O70" s="7" t="str"/>
      <x:c r="P70" s="7" t="str">
        <x:v>SRC-5a60808639</x:v>
      </x:c>
    </x:row>
    <x:row r="71" ht="40.400001525878906" customHeight="1">
      <x:c r="A71" s="7" t="str">
        <x:v>OTHER-P02</x:v>
      </x:c>
      <x:c r="B71" s="7" t="str">
        <x:v>スマート農業実証プロジェクト</x:v>
      </x:c>
      <x:c r="C71" s="7" t="str">
        <x:v>農林水産省 農研機構</x:v>
      </x:c>
      <x:c r="D71" s="7" t="str">
        <x:v>2019–</x:v>
      </x:c>
      <x:c r="E71" s="7" t="str">
        <x:v>自動農機・運搬等を含むが農業全体の採択数は交通実証数ではない。圃場内の省力化と公道移動を区別。</x:v>
      </x:c>
      <x:c r="F71" s="7" t="str"/>
      <x:c r="G71" s="7" t="str"/>
      <x:c r="H71" s="18" t="str"/>
      <x:c r="I71" s="7" t="str">
        <x:v>2019–2023採択内訳69+55+補正24+34+23+12=217地区。現行ページ掲載累計の対象期間に注意。</x:v>
      </x:c>
      <x:c r="J71" s="7" t="str"/>
      <x:c r="K71" s="7" t="str"/>
      <x:c r="L71" s="7" t="str">
        <x:v>OTHER-P02</x:v>
      </x:c>
      <x:c r="M71" s="7" t="str">
        <x:v>S055</x:v>
      </x:c>
      <x:c r="N71" s="7" t="str">
        <x:v>https://www.affrc.maff.go.jp/docs/smart_agri_pro/smart_agri_pro.htm</x:v>
      </x:c>
      <x:c r="O71" s="7" t="str"/>
      <x:c r="P71" s="7" t="str">
        <x:v>SRC-e3724464f9</x:v>
      </x:c>
    </x:row>
    <x:row r="72" ht="54.599998474121094" customHeight="1">
      <x:c r="A72" s="7" t="str">
        <x:v>OTHER-P03</x:v>
      </x:c>
      <x:c r="B72" s="7" t="str">
        <x:v>介護予防 日常生活支援総合事業の移動支援</x:v>
      </x:c>
      <x:c r="C72" s="7" t="str">
        <x:v>厚生労働省 市町村</x:v>
      </x:c>
      <x:c r="D72" s="7" t="str">
        <x:v>2016–2026継続制度</x:v>
      </x:c>
      <x:c r="E72" s="7" t="str">
        <x:v>通院や買物の移動と生活支援を一体化。訪問型B/D等と住民互助、運送制度の適用条件を個別に整理。一般の公共交通・障害福祉移動支援と同一制度ではない。</x:v>
      </x:c>
      <x:c r="F72" s="7" t="str"/>
      <x:c r="G72" s="7" t="str"/>
      <x:c r="H72" s="18" t="str"/>
      <x:c r="I72" s="7" t="str">
        <x:v>2024年度指針整理、2026年関東信越厚生局と関東運輸局連携。全国実装件数の確認は未完。</x:v>
      </x:c>
      <x:c r="J72" s="7" t="str"/>
      <x:c r="K72" s="7" t="str"/>
      <x:c r="L72" s="7" t="str">
        <x:v>OTHER-P03</x:v>
      </x:c>
      <x:c r="M72" s="7" t="str">
        <x:v>S216
S339
S340</x:v>
      </x:c>
      <x:c r="N72" s="7" t="str">
        <x:v>https://www.mhlw.go.jp/stf/seisakunitsuite/bunya/0000192992.html</x:v>
      </x:c>
      <x:c r="O72" s="7" t="str">
        <x:v>https://wwwtb.mlit.go.jp/kanto/content/000378309.pdf
https://wwwtb.mlit.go.jp/kanto/koutuu_seisaku/iryo_kaigo.html</x:v>
      </x:c>
      <x:c r="P72" s="7" t="str">
        <x:v>SRC-826dfb8709
SRC-ade126a9f0
SRC-dd63f6b973</x:v>
      </x:c>
    </x:row>
    <x:row r="73" ht="54.599998474121094" customHeight="1">
      <x:c r="A73" s="7" t="str">
        <x:v>OTHER-P04</x:v>
      </x:c>
      <x:c r="B73" s="7" t="str">
        <x:v>自動運転の公道実証と特定自動運行制度</x:v>
      </x:c>
      <x:c r="C73" s="7" t="str">
        <x:v>警察庁 国土交通省</x:v>
      </x:c>
      <x:c r="D73" s="7" t="str">
        <x:v>2016–2026</x:v>
      </x:c>
      <x:c r="E73" s="7" t="str">
        <x:v>2016ガイドラインを前史、2017遠隔実証基準、2020年4月L3関係施行、2023年4月特定自動運行制度施行。2025年9月農機公道走行対応、2026年6月留意事項と9月交通ルール解釈窓口。技術実験と営業運送の手続は別。</x:v>
      </x:c>
      <x:c r="F73" s="7" t="str"/>
      <x:c r="G73" s="7" t="str"/>
      <x:c r="H73" s="18" t="str"/>
      <x:c r="I73" s="7" t="str">
        <x:v>制度整備は個別車両や路線の無条件の適法性・安全性を保証しない。</x:v>
      </x:c>
      <x:c r="J73" s="7" t="str"/>
      <x:c r="K73" s="7" t="str"/>
      <x:c r="L73" s="7" t="str">
        <x:v>OTHER-P04</x:v>
      </x:c>
      <x:c r="M73" s="7" t="str">
        <x:v>S297
S298</x:v>
      </x:c>
      <x:c r="N73" s="7" t="str">
        <x:v>https://www.npa.go.jp/bureau/traffic/selfdriving/</x:v>
      </x:c>
      <x:c r="O73" s="7" t="str">
        <x:v>https://www.npa.go.jp/bureau/traffic/selfdriving/roadtesting/</x:v>
      </x:c>
      <x:c r="P73" s="7" t="str">
        <x:v>SRC-0253e3b85b
SRC-47ba7181ae</x:v>
      </x:c>
    </x:row>
  </x:sheetData>
  <x:pageMargins left="0.7" right="0.7" top="0.75" bottom="0.75" header="0.3" footer="0.3"/>
  <x:tableParts count="1">
    <x:tablePart xmlns:r="http://schemas.openxmlformats.org/officeDocument/2006/relationships" r:id="R265760289c5c4ba6"/>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 hidden="0" customWidth="1"/>
    <x:col min="2" max="2" width="20" hidden="0" customWidth="1"/>
    <x:col min="3" max="3" width="52" hidden="0" customWidth="1"/>
    <x:col min="4" max="4" width="65" hidden="0" customWidth="1"/>
    <x:col min="5" max="5" width="23" hidden="0" customWidth="1"/>
    <x:col min="6" max="6" width="65" hidden="0" customWidth="1"/>
    <x:col min="7" max="7" width="15" hidden="0" customWidth="1"/>
  </x:cols>
  <x:sheetData>
    <x:row r="1">
      <x:c r="A1" s="2"/>
      <x:c r="B1" s="2"/>
      <x:c r="C1" s="2"/>
      <x:c r="D1" s="2"/>
      <x:c r="E1" s="2"/>
      <x:c r="F1" s="2"/>
      <x:c r="G1" s="2"/>
    </x:row>
    <x:row r="2" ht="28" customHeight="1">
      <x:c r="A2" s="4" t="str">
        <x:v>出典台帳</x:v>
      </x:c>
      <x:c r="B2" s="4"/>
      <x:c r="C2" s="4"/>
      <x:c r="D2" s="4"/>
      <x:c r="E2" s="4"/>
      <x:c r="F2" s="4"/>
      <x:c r="G2" s="4"/>
    </x:row>
    <x:row r="3" ht="20" customHeight="1">
      <x:c r="A3" s="5" t="str">
        <x:v>各シートの出典番号・出典IDと照合できます。確認日：2026-10-31。資料日付のない資料は空欄のままです。</x:v>
      </x:c>
      <x:c r="B3" s="5"/>
      <x:c r="C3" s="5"/>
      <x:c r="D3" s="5"/>
      <x:c r="E3" s="5"/>
      <x:c r="F3" s="5"/>
      <x:c r="G3" s="5"/>
    </x:row>
    <x:row r="4" ht="20" customHeight="1">
      <x:c r="A4" s="5" t="str">
        <x:v>資料日付は年・月・年度などの元精度を維持。資料日付が複数ある場合も、事象日や現況の根拠時点とは区別します。</x:v>
      </x:c>
      <x:c r="B4" s="5"/>
      <x:c r="C4" s="5"/>
      <x:c r="D4" s="5"/>
      <x:c r="E4" s="5"/>
      <x:c r="F4" s="5"/>
      <x:c r="G4" s="5"/>
    </x:row>
    <x:row r="5">
      <x:c r="A5" s="2"/>
      <x:c r="B5" s="2"/>
      <x:c r="C5" s="2"/>
      <x:c r="D5" s="2"/>
      <x:c r="E5" s="2"/>
      <x:c r="F5" s="2"/>
      <x:c r="G5" s="2"/>
    </x:row>
    <x:row r="6" ht="8" customHeight="1">
      <x:c r="A6" s="2"/>
      <x:c r="B6" s="2"/>
      <x:c r="C6" s="2"/>
      <x:c r="D6" s="2"/>
      <x:c r="E6" s="2"/>
      <x:c r="F6" s="2"/>
      <x:c r="G6" s="2"/>
    </x:row>
    <x:row r="7" ht="34" customHeight="1">
      <x:c r="A7" s="11" t="str">
        <x:v>出典番号</x:v>
      </x:c>
      <x:c r="B7" s="12" t="str">
        <x:v>出典ID</x:v>
      </x:c>
      <x:c r="C7" s="12" t="str">
        <x:v>資料名</x:v>
      </x:c>
      <x:c r="D7" s="12" t="str">
        <x:v>URL</x:v>
      </x:c>
      <x:c r="E7" s="12" t="str">
        <x:v>資料日付（原記載）</x:v>
      </x:c>
      <x:c r="F7" s="12" t="str">
        <x:v>該当箇所</x:v>
      </x:c>
      <x:c r="G7" s="13" t="str">
        <x:v>確認日</x:v>
      </x:c>
    </x:row>
    <x:row r="8" ht="30" customHeight="1">
      <x:c r="A8" s="7" t="str">
        <x:v>S001</x:v>
      </x:c>
      <x:c r="B8" s="7" t="str">
        <x:v>SRC-2360d413e6</x:v>
      </x:c>
      <x:c r="C8" s="7" t="str">
        <x:v>永平寺町のレベル4自動運転を再訪</x:v>
      </x:c>
      <x:c r="D8" s="7" t="str">
        <x:v>https://blog.jama.or.jp/?p=7112</x:v>
      </x:c>
      <x:c r="E8" s="7" t="str">
        <x:v>2024-05-15</x:v>
      </x:c>
      <x:c r="F8" s="7" t="str">
        <x:v>町取材、3月16日再開</x:v>
      </x:c>
      <x:c r="G8" s="18" t="n">
        <x:v>46326</x:v>
      </x:c>
    </x:row>
    <x:row r="9" ht="30" customHeight="1">
      <x:c r="A9" s="7" t="str">
        <x:v>S002</x:v>
      </x:c>
      <x:c r="B9" s="7" t="str">
        <x:v>SRC-b3c49faa5c</x:v>
      </x:c>
      <x:c r="C9" s="7" t="str">
        <x:v>中国四国地方グリーンスローモビリティ関連資料</x:v>
      </x:c>
      <x:c r="D9" s="7" t="str">
        <x:v>https://chushikoku.env.go.jp/content/000128710.pdf</x:v>
      </x:c>
      <x:c r="E9" s="7" t="str"/>
      <x:c r="F9" s="7" t="str">
        <x:v>p19 福山：2019-04-19タクシー事業開始、鞆の浦等の運行</x:v>
      </x:c>
      <x:c r="G9" s="18" t="n">
        <x:v>46326</x:v>
      </x:c>
    </x:row>
    <x:row r="10" ht="30" customHeight="1">
      <x:c r="A10" s="7" t="str">
        <x:v>S003</x:v>
      </x:c>
      <x:c r="B10" s="7" t="str">
        <x:v>SRC-85ed858f18</x:v>
      </x:c>
      <x:c r="C10" s="7" t="str">
        <x:v>徳島バス 燃料電池バスの導入事例</x:v>
      </x:c>
      <x:c r="D10" s="7" t="str">
        <x:v>https://chushikoku.env.go.jp/shikoku/content/000128392.pdf</x:v>
      </x:c>
      <x:c r="E10" s="7" t="str"/>
      <x:c r="F10" s="7" t="str">
        <x:v>燃費19.14km/kg・2021年12月～2022年12月CO2削減85.1t</x:v>
      </x:c>
      <x:c r="G10" s="18" t="n">
        <x:v>46326</x:v>
      </x:c>
    </x:row>
    <x:row r="11" ht="30" customHeight="1">
      <x:c r="A11" s="7" t="str">
        <x:v>S004</x:v>
      </x:c>
      <x:c r="B11" s="7" t="str">
        <x:v>SRC-292f7ff35f</x:v>
      </x:c>
      <x:c r="C11" s="7" t="str">
        <x:v>官民ITS構想・ロードマップ2019 概要</x:v>
      </x:c>
      <x:c r="D11" s="7" t="str">
        <x:v>https://cio.go.jp/sites/default/files/uploads/documents/its_roadmap_2019_point.pdf</x:v>
      </x:c>
      <x:c r="E11" s="7" t="str">
        <x:v>2019-06-07</x:v>
      </x:c>
      <x:c r="F11" s="7" t="str">
        <x:v>表紙・概要</x:v>
      </x:c>
      <x:c r="G11" s="18" t="n">
        <x:v>46326</x:v>
      </x:c>
    </x:row>
    <x:row r="12" ht="30" customHeight="1">
      <x:c r="A12" s="7" t="str">
        <x:v>S005</x:v>
      </x:c>
      <x:c r="B12" s="7" t="str">
        <x:v>SRC-81c89f14ae</x:v>
      </x:c>
      <x:c r="C12" s="7" t="str">
        <x:v>官民ITS構想・ロードマップ2020</x:v>
      </x:c>
      <x:c r="D12" s="7" t="str">
        <x:v>https://cio.go.jp/sites/default/files/uploads/documents/its_roadmap_2020.pdf</x:v>
      </x:c>
      <x:c r="E12" s="7" t="str">
        <x:v>2020</x:v>
      </x:c>
      <x:c r="F12" s="7" t="str">
        <x:v>データ連携、共通利用、リファレンスアーキテクチャ</x:v>
      </x:c>
      <x:c r="G12" s="18" t="n">
        <x:v>46326</x:v>
      </x:c>
    </x:row>
    <x:row r="13" ht="30" customHeight="1">
      <x:c r="A13" s="7" t="str">
        <x:v>S006</x:v>
      </x:c>
      <x:c r="B13" s="7" t="str">
        <x:v>SRC-98d450e0f0</x:v>
      </x:c>
      <x:c r="C13" s="7" t="str">
        <x:v>官民ITS構想・ロードマップ2017 経緯とポイント</x:v>
      </x:c>
      <x:c r="D13" s="7" t="str">
        <x:v>https://cio.go.jp/sites/default/files/uploads/documents/its_roadmapkeiitopoint.pdf</x:v>
      </x:c>
      <x:c r="E13" s="7" t="str">
        <x:v>2017-05-30</x:v>
      </x:c>
      <x:c r="F13" s="7" t="str">
        <x:v>表紙・経緯とポイント（内閣官房IT総合戦略室）</x:v>
      </x:c>
      <x:c r="G13" s="18" t="n">
        <x:v>46326</x:v>
      </x:c>
    </x:row>
    <x:row r="14" ht="30" customHeight="1">
      <x:c r="A14" s="7" t="str">
        <x:v>S007</x:v>
      </x:c>
      <x:c r="B14" s="7" t="str">
        <x:v>SRC-ae053c7dd8</x:v>
      </x:c>
      <x:c r="C14" s="7" t="str">
        <x:v>EVのV2Gに関する技術性・事業性の検討</x:v>
      </x:c>
      <x:c r="D14" s="7" t="str">
        <x:v>https://criepi.denken.or.jp/hokokusho/pb/reportDetail?reportNoUkCode=GD21001</x:v>
      </x:c>
      <x:c r="E14" s="7" t="str">
        <x:v>2021-08</x:v>
      </x:c>
      <x:c r="F14" s="7" t="str">
        <x:v>研究報告GD21001、664人調査、調整力収入のみの採算制約</x:v>
      </x:c>
      <x:c r="G14" s="18" t="n">
        <x:v>46326</x:v>
      </x:c>
    </x:row>
    <x:row r="15" ht="30" customHeight="1">
      <x:c r="A15" s="7" t="str">
        <x:v>S008</x:v>
      </x:c>
      <x:c r="B15" s="7" t="str">
        <x:v>SRC-7d6913e3d4</x:v>
      </x:c>
      <x:c r="C15" s="7" t="str">
        <x:v>はぴチケ 現行サービス案内</x:v>
      </x:c>
      <x:c r="D15" s="7" t="str">
        <x:v>https://fukuappli.jp/hapiticket/</x:v>
      </x:c>
      <x:c r="E15" s="7" t="str"/>
      <x:c r="F15" s="7" t="str">
        <x:v>2026-10-01改編後の対象券案内</x:v>
      </x:c>
      <x:c r="G15" s="18" t="n">
        <x:v>46326</x:v>
      </x:c>
    </x:row>
    <x:row r="16" ht="30" customHeight="1">
      <x:c r="A16" s="7" t="str">
        <x:v>S009</x:v>
      </x:c>
      <x:c r="B16" s="7" t="str">
        <x:v>SRC-26242a4423</x:v>
      </x:c>
      <x:c r="C16" s="7" t="str">
        <x:v>ぎんざんカート公式 運行案内</x:v>
      </x:c>
      <x:c r="D16" s="7" t="str">
        <x:v>https://gc.iwamiginzan.jp/ja</x:v>
      </x:c>
      <x:c r="E16" s="7" t="str">
        <x:v>2026-09-30掲載の運行変更案内</x:v>
      </x:c>
      <x:c r="F16" s="7" t="str">
        <x:v>2026年10月～翌1月試験運行、土日祝増便等</x:v>
      </x:c>
      <x:c r="G16" s="18" t="n">
        <x:v>46326</x:v>
      </x:c>
    </x:row>
    <x:row r="17" ht="30" customHeight="1">
      <x:c r="A17" s="7" t="str">
        <x:v>S010</x:v>
      </x:c>
      <x:c r="B17" s="7" t="str">
        <x:v>SRC-458513f969</x:v>
      </x:c>
      <x:c r="C17" s="7" t="str">
        <x:v>スマートモビリティ社会の構築 進捗</x:v>
      </x:c>
      <x:c r="D17" s="7" t="str">
        <x:v>https://green-innovation.nedo.go.jp/project/smart-mobility-society/progress/</x:v>
      </x:c>
      <x:c r="E17" s="7" t="str"/>
      <x:c r="F17" s="7" t="str">
        <x:v>商用電動車の運行・エネルギー最適化</x:v>
      </x:c>
      <x:c r="G17" s="18" t="n">
        <x:v>46326</x:v>
      </x:c>
    </x:row>
    <x:row r="18" ht="40.400001525878906" customHeight="1">
      <x:c r="A18" s="7" t="str">
        <x:v>S011</x:v>
      </x:c>
      <x:c r="B18" s="7" t="str">
        <x:v>SRC-c71fcdb9bd</x:v>
      </x:c>
      <x:c r="C18" s="7" t="str">
        <x:v>福島交通 事業戦略ビジョン</x:v>
      </x:c>
      <x:c r="D18" s="7" t="str">
        <x:v>https://green-innovation.nedo.go.jp/resources/pdf/smart-mobility-society/item-002/vision-fukushima-koutu-003.pdf</x:v>
      </x:c>
      <x:c r="E18" s="7" t="str">
        <x:v>2025-03</x:v>
      </x:c>
      <x:c r="F18" s="7" t="str">
        <x:v>利益確保、電力費・制度変化による事業中止条件</x:v>
      </x:c>
      <x:c r="G18" s="18" t="n">
        <x:v>46326</x:v>
      </x:c>
    </x:row>
    <x:row r="19" ht="30" customHeight="1">
      <x:c r="A19" s="7" t="str">
        <x:v>S012</x:v>
      </x:c>
      <x:c r="B19" s="7" t="str">
        <x:v>SRC-9c34acf210</x:v>
      </x:c>
      <x:c r="C19" s="7" t="str">
        <x:v>北海道地方環境事務所 水素サプライチェーン資料</x:v>
      </x:c>
      <x:c r="D19" s="7" t="str">
        <x:v>https://hokkaido.env.go.jp/content/000066911.pdf</x:v>
      </x:c>
      <x:c r="E19" s="7" t="str">
        <x:v>2022年度以降資料</x:v>
      </x:c>
      <x:c r="F19" s="7" t="str">
        <x:v>p.9 2021年度実証終了、2022年度事業化</x:v>
      </x:c>
      <x:c r="G19" s="18" t="n">
        <x:v>46326</x:v>
      </x:c>
    </x:row>
    <x:row r="20" ht="30" customHeight="1">
      <x:c r="A20" s="7" t="str">
        <x:v>S013</x:v>
      </x:c>
      <x:c r="B20" s="7" t="str">
        <x:v>SRC-1a3fa50c24</x:v>
      </x:c>
      <x:c r="C20" s="7" t="str">
        <x:v>令和8年度地域交通リ・デザイン事業</x:v>
      </x:c>
      <x:c r="D20" s="7" t="str">
        <x:v>https://kotsu-kuhaku-r8.jp/</x:v>
      </x:c>
      <x:c r="E20" s="7" t="str"/>
      <x:c r="F20" s="7" t="str">
        <x:v>交通空白・共同化協業化・地域交通DX・人材組織育成の4類型、要綱・公募</x:v>
      </x:c>
      <x:c r="G20" s="18" t="n">
        <x:v>46326</x:v>
      </x:c>
    </x:row>
    <x:row r="21" ht="30" customHeight="1">
      <x:c r="A21" s="7" t="str">
        <x:v>S014</x:v>
      </x:c>
      <x:c r="B21" s="7" t="str">
        <x:v>SRC-3ee58251dd</x:v>
      </x:c>
      <x:c r="C21" s="7" t="str">
        <x:v>令和6年度 採択・事例報告</x:v>
      </x:c>
      <x:c r="D21" s="7" t="str">
        <x:v>https://kotsu-kuhaku.jp/adopter_6/</x:v>
      </x:c>
      <x:c r="E21" s="7" t="str"/>
      <x:c r="F21" s="7" t="str">
        <x:v>ピックアップ共創70事例、人材10事例</x:v>
      </x:c>
      <x:c r="G21" s="18" t="n">
        <x:v>46326</x:v>
      </x:c>
    </x:row>
    <x:row r="22" ht="30" customHeight="1">
      <x:c r="A22" s="7" t="str">
        <x:v>S015</x:v>
      </x:c>
      <x:c r="B22" s="7" t="str">
        <x:v>SRC-39a2bad972</x:v>
      </x:c>
      <x:c r="C22" s="7" t="str">
        <x:v>令和6年度共創モデル実証 事例集</x:v>
      </x:c>
      <x:c r="D22" s="7" t="str">
        <x:v>https://kotsu-kuhaku.jp/adopter_6/kyousou/report/kyousou_all.pdf</x:v>
      </x:c>
      <x:c r="E22" s="7" t="str">
        <x:v>FY2024</x:v>
      </x:c>
      <x:c r="F22" s="7" t="str">
        <x:v>p1 札幌市清田区医療連携オンデマンド：構想修正、費用・利用実績</x:v>
      </x:c>
      <x:c r="G22" s="18" t="n">
        <x:v>46326</x:v>
      </x:c>
    </x:row>
    <x:row r="23" ht="30" customHeight="1">
      <x:c r="A23" s="7" t="str">
        <x:v>S016</x:v>
      </x:c>
      <x:c r="B23" s="7" t="str">
        <x:v>SRC-84b979ac9d</x:v>
      </x:c>
      <x:c r="C23" s="7" t="str">
        <x:v>山北地域交通運営協議会 山北徳新会病院の車両活用</x:v>
      </x:c>
      <x:c r="D23" s="7" t="str">
        <x:v>https://kotsu-kuhaku.jp/adopter_7/kotsu/detail.php?CN=426566</x:v>
      </x:c>
      <x:c r="E23" s="7" t="str">
        <x:v>FY2025</x:v>
      </x:c>
      <x:c r="F23" s="7" t="str">
        <x:v>実施期間、運行実績、事業費、成果・課題</x:v>
      </x:c>
      <x:c r="G23" s="18" t="n">
        <x:v>46326</x:v>
      </x:c>
    </x:row>
    <x:row r="24" ht="30" customHeight="1">
      <x:c r="A24" s="7" t="str">
        <x:v>S017</x:v>
      </x:c>
      <x:c r="B24" s="7" t="str">
        <x:v>SRC-e1b6404c3c</x:v>
      </x:c>
      <x:c r="C24" s="7" t="str">
        <x:v>高陽地区バス事業者連携プラットフォーム</x:v>
      </x:c>
      <x:c r="D24" s="7" t="str">
        <x:v>https://kotsu-kuhaku.jp/adopter_7/kyoso/detail.php?CN=426571</x:v>
      </x:c>
      <x:c r="E24" s="7" t="str">
        <x:v>FY2025</x:v>
      </x:c>
      <x:c r="F24" s="7" t="str">
        <x:v>共同運行・車庫休憩所共同化、運行実績、事業費、課題</x:v>
      </x:c>
      <x:c r="G24" s="18" t="n">
        <x:v>46326</x:v>
      </x:c>
    </x:row>
    <x:row r="25" ht="30" customHeight="1">
      <x:c r="A25" s="7" t="str">
        <x:v>S018</x:v>
      </x:c>
      <x:c r="B25" s="7" t="str">
        <x:v>SRC-2553a76079</x:v>
      </x:c>
      <x:c r="C25" s="7" t="str">
        <x:v>雲仙市 地域スポーツクラブの送迎支援</x:v>
      </x:c>
      <x:c r="D25" s="7" t="str">
        <x:v>https://kotsu-kuhaku.jp/adopter_7/kyoso/detail.php?CN=426573</x:v>
      </x:c>
      <x:c r="E25" s="7" t="str">
        <x:v>FY2025</x:v>
      </x:c>
      <x:c r="F25" s="7" t="str">
        <x:v>時間帯別車両活用、実績・保護者時間推計、事業費</x:v>
      </x:c>
      <x:c r="G25" s="18" t="n">
        <x:v>46326</x:v>
      </x:c>
    </x:row>
    <x:row r="26" ht="30" customHeight="1">
      <x:c r="A26" s="7" t="str">
        <x:v>S019</x:v>
      </x:c>
      <x:c r="B26" s="7" t="str">
        <x:v>SRC-d89c42a8f3</x:v>
      </x:c>
      <x:c r="C26" s="7" t="str">
        <x:v>八戸圏域 モビリティ人材育成</x:v>
      </x:c>
      <x:c r="D26" s="7" t="str">
        <x:v>https://kotsu-kuhaku.jp/adopter_7/mobi/detail.php?CN=426329</x:v>
      </x:c>
      <x:c r="E26" s="7" t="str">
        <x:v>FY2025</x:v>
      </x:c>
      <x:c r="F26" s="7" t="str">
        <x:v>自治体職員OJT、学生ワークショップ、アンケート</x:v>
      </x:c>
      <x:c r="G26" s="18" t="n">
        <x:v>46326</x:v>
      </x:c>
    </x:row>
    <x:row r="27" ht="30" customHeight="1">
      <x:c r="A27" s="7" t="str">
        <x:v>S020</x:v>
      </x:c>
      <x:c r="B27" s="7" t="str">
        <x:v>SRC-c02578fa81</x:v>
      </x:c>
      <x:c r="C27" s="7" t="str">
        <x:v>令和5年度 採択・事例報告</x:v>
      </x:c>
      <x:c r="D27" s="7" t="str">
        <x:v>https://kotsu-kuhaku.jp/adopter_r5/</x:v>
      </x:c>
      <x:c r="E27" s="7" t="str"/>
      <x:c r="F27" s="7" t="str">
        <x:v>ピックアップ共創37事例、人材9事例（全採択とは限らない）</x:v>
      </x:c>
      <x:c r="G27" s="18" t="n">
        <x:v>46326</x:v>
      </x:c>
    </x:row>
    <x:row r="28" ht="30" customHeight="1">
      <x:c r="A28" s="7" t="str">
        <x:v>S021</x:v>
      </x:c>
      <x:c r="B28" s="7" t="str">
        <x:v>SRC-5e7d755892</x:v>
      </x:c>
      <x:c r="C28" s="7" t="str">
        <x:v>道の駅かみこあに お知らせ</x:v>
      </x:c>
      <x:c r="D28" s="7" t="str">
        <x:v>https://michinoeki-kamikoani.jp/news_cat/</x:v>
      </x:c>
      <x:c r="E28" s="7" t="str"/>
      <x:c r="F28" s="7" t="str">
        <x:v>2023-03-30運休／2023-06-09再開の掲載日</x:v>
      </x:c>
      <x:c r="G28" s="18" t="n">
        <x:v>46326</x:v>
      </x:c>
    </x:row>
    <x:row r="29" ht="30" customHeight="1">
      <x:c r="A29" s="7" t="str">
        <x:v>S022</x:v>
      </x:c>
      <x:c r="B29" s="7" t="str">
        <x:v>SRC-d2efbb104e</x:v>
      </x:c>
      <x:c r="C29" s="7" t="str">
        <x:v>自動運転サービスの再開について</x:v>
      </x:c>
      <x:c r="D29" s="7" t="str">
        <x:v>https://michinoeki-kamikoani.jp/news_cat/7667/</x:v>
      </x:c>
      <x:c r="E29" s="7" t="str">
        <x:v>2023-06-09</x:v>
      </x:c>
      <x:c r="F29" s="7" t="str">
        <x:v>本文：運休していたサービス再開、6・7月運行日</x:v>
      </x:c>
      <x:c r="G29" s="18" t="n">
        <x:v>46326</x:v>
      </x:c>
    </x:row>
    <x:row r="30" ht="30" customHeight="1">
      <x:c r="A30" s="7" t="str">
        <x:v>S023</x:v>
      </x:c>
      <x:c r="B30" s="7" t="str">
        <x:v>SRC-2a4e51c86c</x:v>
      </x:c>
      <x:c r="C30" s="7" t="str">
        <x:v>道の駅かみこあに 自動運転サービス</x:v>
      </x:c>
      <x:c r="D30" s="7" t="str">
        <x:v>https://michinoeki-kamikoani.jp/self_driving_service/</x:v>
      </x:c>
      <x:c r="E30" s="7" t="str"/>
      <x:c r="F30" s="7" t="str">
        <x:v>運行案内。更新日不明のため2026実績とはしない</x:v>
      </x:c>
      <x:c r="G30" s="18" t="n">
        <x:v>46326</x:v>
      </x:c>
    </x:row>
    <x:row r="31" ht="30" customHeight="1">
      <x:c r="A31" s="7" t="str">
        <x:v>S024</x:v>
      </x:c>
      <x:c r="B31" s="7" t="str">
        <x:v>SRC-469871fe16</x:v>
      </x:c>
      <x:c r="C31" s="7" t="str">
        <x:v>地域脱炭素に関する先行的取組の事例集</x:v>
      </x:c>
      <x:c r="D31" s="7" t="str">
        <x:v>https://policies.env.go.jp/policy/roadmap/assets/examples/chiiki-datsutanso-senkou-jirei.pdf</x:v>
      </x:c>
      <x:c r="E31" s="7" t="str"/>
      <x:c r="F31" s="7" t="str">
        <x:v>p.41 貸与型2024～2026年度実証</x:v>
      </x:c>
      <x:c r="G31" s="18" t="n">
        <x:v>46326</x:v>
      </x:c>
    </x:row>
    <x:row r="32" ht="40.400001525878906" customHeight="1">
      <x:c r="A32" s="7" t="str">
        <x:v>S025</x:v>
      </x:c>
      <x:c r="B32" s="7" t="str">
        <x:v>SRC-8004a9d509</x:v>
      </x:c>
      <x:c r="C32" s="7" t="str">
        <x:v>宇都宮市・芳賀町 脱炭素先行地域 令和6年度進捗状況報告</x:v>
      </x:c>
      <x:c r="D32" s="7" t="str">
        <x:v>https://policies.env.go.jp/policy/roadmap/assets/preceding-region/kanto-R6-shinchoku-joukyou-hokokusyo-02.pdf#page=1</x:v>
      </x:c>
      <x:c r="E32" s="7" t="str">
        <x:v>2025年（2024年度実績）</x:v>
      </x:c>
      <x:c r="F32" s="7" t="str">
        <x:v>pp.4–5 交通部門、国費財源を区別</x:v>
      </x:c>
      <x:c r="G32" s="18" t="n">
        <x:v>46326</x:v>
      </x:c>
    </x:row>
    <x:row r="33" ht="40.400001525878906" customHeight="1">
      <x:c r="A33" s="7" t="str">
        <x:v>S026</x:v>
      </x:c>
      <x:c r="B33" s="7" t="str">
        <x:v>SRC-93db88e59e</x:v>
      </x:c>
      <x:c r="C33" s="7" t="str">
        <x:v>松本市 令和5年度先行地域進捗報告</x:v>
      </x:c>
      <x:c r="D33" s="7" t="str">
        <x:v>https://policies.env.go.jp/policy/roadmap/assets/preceding-region/tyubu-R5-shinchoku-joukyou-hokokusyo-03.pdf</x:v>
      </x:c>
      <x:c r="E33" s="7" t="str">
        <x:v>2024年（2023年度実績）</x:v>
      </x:c>
      <x:c r="F33" s="7" t="str">
        <x:v>p.1 主軸小水力発電の事業性再検討・遅延</x:v>
      </x:c>
      <x:c r="G33" s="18" t="n">
        <x:v>46326</x:v>
      </x:c>
    </x:row>
    <x:row r="34" ht="68.80000305175781" customHeight="1">
      <x:c r="A34" s="7" t="str">
        <x:v>S027</x:v>
      </x:c>
      <x:c r="B34" s="7" t="str">
        <x:v>SRC-96c044bd76</x:v>
      </x:c>
      <x:c r="C34" s="7" t="str">
        <x:v>環境省 脱炭素先行地域</x:v>
      </x:c>
      <x:c r="D34" s="7" t="str">
        <x:v>https://policies.env.go.jp/policy/roadmap/preceding-region/</x:v>
      </x:c>
      <x:c r="E34" s="7" t="str"/>
      <x:c r="F34" s="7" t="str">
        <x:v>定義・選定・進捗報告・評価
松本市の行「令和7年9月11日 選定辞退」（2026-10-31確認）
中部・長野県松本市の行：令和7年9月11日選定辞退
選定経過と進捗報告</x:v>
      </x:c>
      <x:c r="G34" s="18" t="n">
        <x:v>46326</x:v>
      </x:c>
    </x:row>
    <x:row r="35" ht="40.400001525878906" customHeight="1">
      <x:c r="A35" s="7" t="str">
        <x:v>S028</x:v>
      </x:c>
      <x:c r="B35" s="7" t="str">
        <x:v>SRC-0f43c3a686</x:v>
      </x:c>
      <x:c r="C35" s="7" t="str">
        <x:v>国内における自動運転実証・実装事例</x:v>
      </x:c>
      <x:c r="D35" s="7" t="str">
        <x:v>https://pubpjt.mri.co.jp/pjt_related/rcsad-info/eqghpc000000030i-att/20250610rcsad-info_case2.pdf</x:v>
      </x:c>
      <x:c r="E35" s="7" t="str">
        <x:v>2025-06-10</x:v>
      </x:c>
      <x:c r="F35" s="7" t="str">
        <x:v>上小阿仁村欄：2025年1月閲覧源、利用・費用・改善検討</x:v>
      </x:c>
      <x:c r="G35" s="18" t="n">
        <x:v>46326</x:v>
      </x:c>
    </x:row>
    <x:row r="36" ht="40.400001525878906" customHeight="1">
      <x:c r="A36" s="7" t="str">
        <x:v>S029</x:v>
      </x:c>
      <x:c r="B36" s="7" t="str">
        <x:v>SRC-c3999aa7a9</x:v>
      </x:c>
      <x:c r="C36" s="7" t="str">
        <x:v>R6自動運転通信実証 前橋市・中之条町</x:v>
      </x:c>
      <x:c r="D36" s="7" t="str">
        <x:v>https://pubpjt.mri.co.jp/pjt_related/rcsad-info/eqghpc000000030i-att/20250714rcsad-info_houkoku_gunma_maebashi_nakanojo.pdf</x:v>
      </x:c>
      <x:c r="E36" s="7" t="str">
        <x:v>2025-07-14公開</x:v>
      </x:c>
      <x:c r="F36" s="7" t="str">
        <x:v>導入経緯：デジ田・道路局支援の設備継続利用</x:v>
      </x:c>
      <x:c r="G36" s="18" t="n">
        <x:v>46326</x:v>
      </x:c>
    </x:row>
    <x:row r="37" ht="40.400001525878906" customHeight="1">
      <x:c r="A37" s="7" t="str">
        <x:v>S030</x:v>
      </x:c>
      <x:c r="B37" s="7" t="str">
        <x:v>SRC-8b71946062</x:v>
      </x:c>
      <x:c r="C37" s="7" t="str">
        <x:v>R6自動運転通信実証 北海道上士幌町</x:v>
      </x:c>
      <x:c r="D37" s="7" t="str">
        <x:v>https://pubpjt.mri.co.jp/pjt_related/rcsad-info/eqghpc000000030i-att/20250714rcsad-info_houkoku_hokkaido_kamishihoro.pdf</x:v>
      </x:c>
      <x:c r="E37" s="7" t="str">
        <x:v>2025-01報告／2025-07-14公開</x:v>
      </x:c>
      <x:c r="F37" s="7" t="str">
        <x:v>本文p66–71、p77概算、p81走行条件</x:v>
      </x:c>
      <x:c r="G37" s="18" t="n">
        <x:v>46326</x:v>
      </x:c>
    </x:row>
    <x:row r="38" ht="40.400001525878906" customHeight="1">
      <x:c r="A38" s="7" t="str">
        <x:v>S031</x:v>
      </x:c>
      <x:c r="B38" s="7" t="str">
        <x:v>SRC-fad30d1732</x:v>
      </x:c>
      <x:c r="C38" s="7" t="str">
        <x:v>R6自動運転通信実証 石川県小松市</x:v>
      </x:c>
      <x:c r="D38" s="7" t="str">
        <x:v>https://pubpjt.mri.co.jp/pjt_related/rcsad-info/eqghpc000000030i-att/20250714rcsad-info_houkoku_ishikawa_komatsu.pdf</x:v>
      </x:c>
      <x:c r="E38" s="7" t="str">
        <x:v>2025-07-14公開</x:v>
      </x:c>
      <x:c r="F38" s="7" t="str">
        <x:v>本文p98–105効果・費用負担、p105成果
本文p98–105</x:v>
      </x:c>
      <x:c r="G38" s="18" t="n">
        <x:v>46326</x:v>
      </x:c>
    </x:row>
    <x:row r="39" ht="40.400001525878906" customHeight="1">
      <x:c r="A39" s="7" t="str">
        <x:v>S032</x:v>
      </x:c>
      <x:c r="B39" s="7" t="str">
        <x:v>SRC-d4dcb51510</x:v>
      </x:c>
      <x:c r="C39" s="7" t="str">
        <x:v>R7福山市通信実証 事業概要</x:v>
      </x:c>
      <x:c r="D39" s="7" t="str">
        <x:v>https://pubpjt.mri.co.jp/pjt_related/rcsad-info/eqghpc000000030i-att/20250729rcsad-info_gaiyou_hiroshima_fukuyama.pdf</x:v>
      </x:c>
      <x:c r="E39" s="7" t="str">
        <x:v>2025-07-29ファイル名</x:v>
      </x:c>
      <x:c r="F39" s="7" t="str">
        <x:v>p1 実施体制・緊急車位置情報と制御の計画（未達成）</x:v>
      </x:c>
      <x:c r="G39" s="18" t="n">
        <x:v>46326</x:v>
      </x:c>
    </x:row>
    <x:row r="40" ht="40.400001525878906" customHeight="1">
      <x:c r="A40" s="7" t="str">
        <x:v>S033</x:v>
      </x:c>
      <x:c r="B40" s="7" t="str">
        <x:v>SRC-846bbdb748</x:v>
      </x:c>
      <x:c r="C40" s="7" t="str">
        <x:v>R7自動運転通信実証 高知市</x:v>
      </x:c>
      <x:c r="D40" s="7" t="str">
        <x:v>https://pubpjt.mri.co.jp/pjt_related/rcsad-info/eqghpc000000030i-att/20260603rcsad-info_houkoku_kouchi.pdf</x:v>
      </x:c>
      <x:c r="E40" s="7" t="str">
        <x:v>2026-06-03公開</x:v>
      </x:c>
      <x:c r="F40" s="7" t="str">
        <x:v>PDF p116–118／本文p112–114：救急車連携と未実装機能</x:v>
      </x:c>
      <x:c r="G40" s="18" t="n">
        <x:v>46326</x:v>
      </x:c>
    </x:row>
    <x:row r="41" ht="40.400001525878906" customHeight="1">
      <x:c r="A41" s="7" t="str">
        <x:v>S034</x:v>
      </x:c>
      <x:c r="B41" s="7" t="str">
        <x:v>SRC-67094370f5</x:v>
      </x:c>
      <x:c r="C41" s="7" t="str">
        <x:v>R7自動運転通信実証 松江市</x:v>
      </x:c>
      <x:c r="D41" s="7" t="str">
        <x:v>https://pubpjt.mri.co.jp/pjt_related/rcsad-info/eqghpc000000030i-att/20260603rcsad-info_houkoku_shimane_matsue.pdf</x:v>
      </x:c>
      <x:c r="E41" s="7" t="str">
        <x:v>2026-06-03公開</x:v>
      </x:c>
      <x:c r="F41" s="7" t="str">
        <x:v>PDF p115–117／本文p110–112：監視稼働・障害原因</x:v>
      </x:c>
      <x:c r="G41" s="18" t="n">
        <x:v>46326</x:v>
      </x:c>
    </x:row>
    <x:row r="42" ht="40.400001525878906" customHeight="1">
      <x:c r="A42" s="7" t="str">
        <x:v>S035</x:v>
      </x:c>
      <x:c r="B42" s="7" t="str">
        <x:v>SRC-6510930b8a</x:v>
      </x:c>
      <x:c r="C42" s="7" t="str">
        <x:v>R7自動運転通信実証 美郷町</x:v>
      </x:c>
      <x:c r="D42" s="7" t="str">
        <x:v>https://pubpjt.mri.co.jp/pjt_related/rcsad-info/eqghpc000000030i-att/20260603rcsad-info_houkoku_shimane_misato.pdf</x:v>
      </x:c>
      <x:c r="E42" s="7" t="str">
        <x:v>2026-06-03公開</x:v>
      </x:c>
      <x:c r="F42" s="7" t="str">
        <x:v>PDF p93–94／本文p89–90：実証成果・課題</x:v>
      </x:c>
      <x:c r="G42" s="18" t="n">
        <x:v>46326</x:v>
      </x:c>
    </x:row>
    <x:row r="43" ht="40.400001525878906" customHeight="1">
      <x:c r="A43" s="7" t="str">
        <x:v>S036</x:v>
      </x:c>
      <x:c r="B43" s="7" t="str">
        <x:v>SRC-dd614f096b</x:v>
      </x:c>
      <x:c r="C43" s="7" t="str">
        <x:v>総務省地域社会DX推進パッケージ事業 自動運転レベル4検証タイプ</x:v>
      </x:c>
      <x:c r="D43" s="7" t="str">
        <x:v>https://pubpjt.mri.co.jp/pjt_related/rcsad-info/index.html</x:v>
      </x:c>
      <x:c r="E43" s="7" t="str">
        <x:v>2026-08-07まで更新／2026-10-31閲覧</x:v>
      </x:c>
      <x:c r="F43" s="7" t="str">
        <x:v>R6成果2025-07-14、R7成果2026-06-03、R8概要2026-07-13、福山取下げ</x:v>
      </x:c>
      <x:c r="G43" s="18" t="n">
        <x:v>46326</x:v>
      </x:c>
    </x:row>
    <x:row r="44" ht="30" customHeight="1">
      <x:c r="A44" s="7" t="str">
        <x:v>S037</x:v>
      </x:c>
      <x:c r="B44" s="7" t="str">
        <x:v>SRC-fc67d3588c</x:v>
      </x:c>
      <x:c r="C44" s="7" t="str">
        <x:v>ReAMo成果報告 飛行計画・空域管理</x:v>
      </x:c>
      <x:c r="D44" s="7" t="str">
        <x:v>https://reamo.nedo.go.jp/library/2026/03/03_JUIDA_Slides_260216.pdf</x:v>
      </x:c>
      <x:c r="E44" s="7" t="str">
        <x:v>2026-02-16</x:v>
      </x:c>
      <x:c r="F44" s="7" t="str">
        <x:v>p.14、2025/8/16実環境PoC、9月10月各1回</x:v>
      </x:c>
      <x:c r="G44" s="18" t="n">
        <x:v>46326</x:v>
      </x:c>
    </x:row>
    <x:row r="45" ht="30" customHeight="1">
      <x:c r="A45" s="7" t="str">
        <x:v>S038</x:v>
      </x:c>
      <x:c r="B45" s="7" t="str">
        <x:v>SRC-f118c3256d</x:v>
      </x:c>
      <x:c r="C45" s="7" t="str">
        <x:v>瀬戸田でグリーンスローモビリティ実証</x:v>
      </x:c>
      <x:c r="D45" s="7" t="str">
        <x:v>https://setouchitourism.or.jp/ja/info/setoda_mobility_press/</x:v>
      </x:c>
      <x:c r="E45" s="7" t="str">
        <x:v>2020年</x:v>
      </x:c>
      <x:c r="F45" s="7" t="str">
        <x:v>2020年7月4日から夏季運行</x:v>
      </x:c>
      <x:c r="G45" s="18" t="n">
        <x:v>46326</x:v>
      </x:c>
    </x:row>
    <x:row r="46" ht="40.400001525878906" customHeight="1">
      <x:c r="A46" s="7" t="str">
        <x:v>S039</x:v>
      </x:c>
      <x:c r="B46" s="7" t="str">
        <x:v>SRC-32212cfeb1</x:v>
      </x:c>
      <x:c r="C46" s="7" t="str">
        <x:v>令和2年度VPP構築実証事業 東京電力グループ成果報告</x:v>
      </x:c>
      <x:c r="D46" s="7" t="str">
        <x:v>https://sii.or.jp/vpp02/uploads/B2_tepco.pdf</x:v>
      </x:c>
      <x:c r="E46" s="7" t="str">
        <x:v>2021</x:v>
      </x:c>
      <x:c r="F46" s="7" t="str">
        <x:v>PDF pp.14–15、72時間144コマ、融通なし想定63.2%対全サイト実績72.2%、EV離脱・接続台数課題
PDF p14：144断面・63.2%想定/72.2%実測。p15：前年84.4%から低下</x:v>
      </x:c>
      <x:c r="G46" s="18" t="n">
        <x:v>46326</x:v>
      </x:c>
    </x:row>
    <x:row r="47" ht="30" customHeight="1">
      <x:c r="A47" s="7" t="str">
        <x:v>S040</x:v>
      </x:c>
      <x:c r="B47" s="7" t="str">
        <x:v>SRC-780b5aff93</x:v>
      </x:c>
      <x:c r="C47" s="7" t="str">
        <x:v>SIP第3期スマートモビリティ プログラム概要</x:v>
      </x:c>
      <x:c r="D47" s="7" t="str">
        <x:v>https://sip3.nedo.go.jp/smartmobility/about/index.html</x:v>
      </x:c>
      <x:c r="E47" s="7" t="str">
        <x:v>2026-06-04改定計画への案内</x:v>
      </x:c>
      <x:c r="F47" s="7" t="str">
        <x:v>ミッション、2026-06-04計画改定</x:v>
      </x:c>
      <x:c r="G47" s="18" t="n">
        <x:v>46326</x:v>
      </x:c>
    </x:row>
    <x:row r="48" ht="30" customHeight="1">
      <x:c r="A48" s="7" t="str">
        <x:v>S041</x:v>
      </x:c>
      <x:c r="B48" s="7" t="str">
        <x:v>SRC-d42a6710f2</x:v>
      </x:c>
      <x:c r="C48" s="7" t="str">
        <x:v>Japan Mobility Data Spaceによるスマートモビリティ社会の実現</x:v>
      </x:c>
      <x:c r="D48" s="7" t="str">
        <x:v>https://sip3.nedo.go.jp/smartmobility/theme/02/index.html</x:v>
      </x:c>
      <x:c r="E48" s="7" t="str">
        <x:v>2026-10-31閲覧・日付未表示</x:v>
      </x:c>
      <x:c r="F48" s="7" t="str">
        <x:v>研究項目9/10/11/16；2025年度・2027年度の成果欄（将来目標混在に注意）</x:v>
      </x:c>
      <x:c r="G48" s="18" t="n">
        <x:v>46326</x:v>
      </x:c>
    </x:row>
    <x:row r="49" ht="30" customHeight="1">
      <x:c r="A49" s="7" t="str">
        <x:v>S042</x:v>
      </x:c>
      <x:c r="B49" s="7" t="str">
        <x:v>SRC-23d9646bd1</x:v>
      </x:c>
      <x:c r="C49" s="7" t="str">
        <x:v>社会受容性・利害関係者調整等を軸にした社会実装及び人材育成プログラム等の開発</x:v>
      </x:c>
      <x:c r="D49" s="7" t="str">
        <x:v>https://sip3.nedo.go.jp/smartmobility/theme/15/index.html</x:v>
      </x:c>
      <x:c r="E49" s="7" t="str">
        <x:v>2024年度末成果／2026-10-31閲覧</x:v>
      </x:c>
      <x:c r="F49" s="7" t="str">
        <x:v>研究成果、2024年度末をもって終了の注記</x:v>
      </x:c>
      <x:c r="G49" s="18" t="n">
        <x:v>46326</x:v>
      </x:c>
    </x:row>
    <x:row r="50" ht="30" customHeight="1">
      <x:c r="A50" s="7" t="str">
        <x:v>S043</x:v>
      </x:c>
      <x:c r="B50" s="7" t="str">
        <x:v>SRC-62046980c6</x:v>
      </x:c>
      <x:c r="C50" s="7" t="str">
        <x:v>幹線物流の効率化に資する法規・制度・商慣習改善提案と物流情報デジタル変換ソフト</x:v>
      </x:c>
      <x:c r="D50" s="7" t="str">
        <x:v>https://sip3.nedo.go.jp/smartmobility/theme/16/index.html</x:v>
      </x:c>
      <x:c r="E50" s="7" t="str">
        <x:v>2025年度成果／2026-10-31閲覧</x:v>
      </x:c>
      <x:c r="F50" s="7" t="str">
        <x:v>実施者：NEXT Logistics Japan～2025-09、日野2025-10～；成果一覧</x:v>
      </x:c>
      <x:c r="G50" s="18" t="n">
        <x:v>46326</x:v>
      </x:c>
    </x:row>
    <x:row r="51" ht="30" customHeight="1">
      <x:c r="A51" s="7" t="str">
        <x:v>S044</x:v>
      </x:c>
      <x:c r="B51" s="7" t="str">
        <x:v>SRC-19aba14d34</x:v>
      </x:c>
      <x:c r="C51" s="7" t="str">
        <x:v>SIP第3期スマートモビリティ 実施体制・採択テーマ</x:v>
      </x:c>
      <x:c r="D51" s="7" t="str">
        <x:v>https://sip3.nedo.go.jp/smartmobility/theme/index.html</x:v>
      </x:c>
      <x:c r="E51" s="7" t="str">
        <x:v>2026-06-22</x:v>
      </x:c>
      <x:c r="F51" s="7" t="str">
        <x:v>17テーマ一覧、テーマ15は2024年度終了・16は2025年度終了</x:v>
      </x:c>
      <x:c r="G51" s="18" t="n">
        <x:v>46326</x:v>
      </x:c>
    </x:row>
    <x:row r="52" ht="40.400001525878906" customHeight="1">
      <x:c r="A52" s="7" t="str">
        <x:v>S045</x:v>
      </x:c>
      <x:c r="B52" s="7" t="str">
        <x:v>SRC-f420e4751a</x:v>
      </x:c>
      <x:c r="C52" s="7" t="str">
        <x:v>SIP3 JARIコンソーシアム 令和7年度成果報告書</x:v>
      </x:c>
      <x:c r="D52" s="7" t="str">
        <x:v>https://sip3.nedo.go.jp/smartmobility/upload/docs/7650a0e5fb857f859b853f1d600af61154d13e30.pdf</x:v>
      </x:c>
      <x:c r="E52" s="7" t="str">
        <x:v>2026-03</x:v>
      </x:c>
      <x:c r="F52" s="7" t="str">
        <x:v>p13–16養父、p22–27仁淀川、p47–53比較調査進捗
本文p14</x:v>
      </x:c>
      <x:c r="G52" s="18" t="n">
        <x:v>46326</x:v>
      </x:c>
    </x:row>
    <x:row r="53" ht="40.400001525878906" customHeight="1">
      <x:c r="A53" s="7" t="str">
        <x:v>S046</x:v>
      </x:c>
      <x:c r="B53" s="7" t="str">
        <x:v>SRC-856396d4df</x:v>
      </x:c>
      <x:c r="C53" s="7" t="str">
        <x:v>SIP3広島大学コンソーシアム 2025年度成果概要</x:v>
      </x:c>
      <x:c r="D53" s="7" t="str">
        <x:v>https://sip3.nedo.go.jp/smartmobility/upload/docs/c145794ffd601929b62e99c486e5da33d78a0f47.pdf</x:v>
      </x:c>
      <x:c r="E53" s="7" t="str">
        <x:v>FY2025（表紙2025-03だが2026-01記述あり、日付不整合を留保）</x:v>
      </x:c>
      <x:c r="F53" s="7" t="str">
        <x:v>p5–7ダッシュボード・サンドボックス・人材、p35–37地域コミュニティ</x:v>
      </x:c>
      <x:c r="G53" s="18" t="n">
        <x:v>46326</x:v>
      </x:c>
    </x:row>
    <x:row r="54" ht="30" customHeight="1">
      <x:c r="A54" s="7" t="str">
        <x:v>S047</x:v>
      </x:c>
      <x:c r="B54" s="7" t="str">
        <x:v>SRC-2441cac973</x:v>
      </x:c>
      <x:c r="C54" s="7" t="str">
        <x:v>SIP3名古屋大学コンソーシアム 2025年度成果概要</x:v>
      </x:c>
      <x:c r="D54" s="7" t="str">
        <x:v>https://sip3.nedo.go.jp/smartmobility/upload/docs/fff151fc3abc36822d34b4009cbc88f664668456.pdf</x:v>
      </x:c>
      <x:c r="E54" s="7" t="str">
        <x:v>2026（FY2025報告）</x:v>
      </x:c>
      <x:c r="F54" s="7" t="str">
        <x:v>PDF p10–20デジタチ・交通行動・GTFS、p26補助金組合せ、p27佐久島実証</x:v>
      </x:c>
      <x:c r="G54" s="18" t="n">
        <x:v>46326</x:v>
      </x:c>
    </x:row>
    <x:row r="55" ht="30" customHeight="1">
      <x:c r="A55" s="7" t="str">
        <x:v>S048</x:v>
      </x:c>
      <x:c r="B55" s="7" t="str">
        <x:v>SRC-7b22d6f8e2</x:v>
      </x:c>
      <x:c r="C55" s="7" t="str">
        <x:v>そらいいな公式</x:v>
      </x:c>
      <x:c r="D55" s="7" t="str">
        <x:v>https://sora-iina.com/</x:v>
      </x:c>
      <x:c r="E55" s="7" t="str"/>
      <x:c r="F55" s="7" t="str">
        <x:v>2026/2/20エリアL4実証、2026/5飛行案内、2026/10特区採択。2026/10/31確認</x:v>
      </x:c>
      <x:c r="G55" s="18" t="n">
        <x:v>46326</x:v>
      </x:c>
    </x:row>
    <x:row r="56" ht="30" customHeight="1">
      <x:c r="A56" s="7" t="str">
        <x:v>S049</x:v>
      </x:c>
      <x:c r="B56" s="7" t="str">
        <x:v>SRC-8e3ccf6070</x:v>
      </x:c>
      <x:c r="C56" s="7" t="str">
        <x:v>2～8℃医療用医薬品ドローン配送を社会実装</x:v>
      </x:c>
      <x:c r="D56" s="7" t="str">
        <x:v>https://sora-iina.com/news/press/20260119_514.html</x:v>
      </x:c>
      <x:c r="E56" s="7" t="str">
        <x:v>2026-01-19</x:v>
      </x:c>
      <x:c r="F56" s="7" t="str">
        <x:v>卸4社との契約、1月19日配送開始</x:v>
      </x:c>
      <x:c r="G56" s="18" t="n">
        <x:v>46326</x:v>
      </x:c>
    </x:row>
    <x:row r="57" ht="30" customHeight="1">
      <x:c r="A57" s="7" t="str">
        <x:v>S050</x:v>
      </x:c>
      <x:c r="B57" s="7" t="str">
        <x:v>SRC-75fc3a52d4</x:v>
      </x:c>
      <x:c r="C57" s="7" t="str">
        <x:v>オリックスカーシェア 東武日光駅ステーション</x:v>
      </x:c>
      <x:c r="D57" s="7" t="str">
        <x:v>https://station.orix-carshare.com/orix-carshare/spot/detail?code=st02701</x:v>
      </x:c>
      <x:c r="E57" s="7" t="str"/>
      <x:c r="F57" s="7" t="str">
        <x:v>2026-10-31閲覧時 リーフ2台表示</x:v>
      </x:c>
      <x:c r="G57" s="18" t="n">
        <x:v>46326</x:v>
      </x:c>
    </x:row>
    <x:row r="58" ht="30" customHeight="1">
      <x:c r="A58" s="7" t="str">
        <x:v>S051</x:v>
      </x:c>
      <x:c r="B58" s="7" t="str">
        <x:v>SRC-053d2c3113</x:v>
      </x:c>
      <x:c r="C58" s="7" t="str">
        <x:v>脱炭素型地域交通等の事例集</x:v>
      </x:c>
      <x:c r="D58" s="7" t="str">
        <x:v>https://tohoku.env.go.jp/content/000220128.pdf</x:v>
      </x:c>
      <x:c r="E58" s="7" t="str">
        <x:v>2023-12</x:v>
      </x:c>
      <x:c r="F58" s="7" t="str">
        <x:v>p.9 日光：2022年10月まで累計589.30t</x:v>
      </x:c>
      <x:c r="G58" s="18" t="n">
        <x:v>46326</x:v>
      </x:c>
    </x:row>
    <x:row r="59" ht="30" customHeight="1">
      <x:c r="A59" s="7" t="str">
        <x:v>S052</x:v>
      </x:c>
      <x:c r="B59" s="7" t="str">
        <x:v>SRC-57608459c3</x:v>
      </x:c>
      <x:c r="C59" s="7" t="str">
        <x:v>レベル4自動運転「ZEN drive」</x:v>
      </x:c>
      <x:c r="D59" s="7" t="str">
        <x:v>https://town.eiheiji.lg.jp/200/206/208/p010484.html</x:v>
      </x:c>
      <x:c r="E59" s="7" t="str">
        <x:v>2026-03-23</x:v>
      </x:c>
      <x:c r="F59" s="7" t="str">
        <x:v>「4月1日からの運休について」</x:v>
      </x:c>
      <x:c r="G59" s="18" t="n">
        <x:v>46326</x:v>
      </x:c>
    </x:row>
    <x:row r="60" ht="30" customHeight="1">
      <x:c r="A60" s="7" t="str">
        <x:v>S053</x:v>
      </x:c>
      <x:c r="B60" s="7" t="str">
        <x:v>SRC-4e0e0818e7</x:v>
      </x:c>
      <x:c r="C60" s="7" t="str">
        <x:v>松田町 令和8年第2回定例会</x:v>
      </x:c>
      <x:c r="D60" s="7" t="str">
        <x:v>https://town.matsuda.kanagawa.jp/site/gikai/r0802teireikai.html</x:v>
      </x:c>
      <x:c r="E60" s="7" t="str">
        <x:v>2026-06</x:v>
      </x:c>
      <x:c r="F60" s="7" t="str">
        <x:v>一般質問：3月31日運行終了への言及</x:v>
      </x:c>
      <x:c r="G60" s="18" t="n">
        <x:v>46326</x:v>
      </x:c>
    </x:row>
    <x:row r="61" ht="30" customHeight="1">
      <x:c r="A61" s="7" t="str">
        <x:v>S054</x:v>
      </x:c>
      <x:c r="B61" s="7" t="str">
        <x:v>SRC-a58ad356af</x:v>
      </x:c>
      <x:c r="C61" s="7" t="str">
        <x:v>松田町 AIオンデマンド交通の結果と今後の交通施策</x:v>
      </x:c>
      <x:c r="D61" s="7" t="str">
        <x:v>https://town.matsuda.kanagawa.jp/uploaded/attachment/18774.pdf</x:v>
      </x:c>
      <x:c r="E61" s="7" t="str">
        <x:v>2026-03</x:v>
      </x:c>
      <x:c r="F61" s="7" t="str">
        <x:v>PDF p5開始、p8契約、p9事業性、p10利用</x:v>
      </x:c>
      <x:c r="G61" s="18" t="n">
        <x:v>46326</x:v>
      </x:c>
    </x:row>
    <x:row r="62" ht="30" customHeight="1">
      <x:c r="A62" s="7" t="str">
        <x:v>S055</x:v>
      </x:c>
      <x:c r="B62" s="7" t="str">
        <x:v>SRC-e3724464f9</x:v>
      </x:c>
      <x:c r="C62" s="7" t="str">
        <x:v>スマート農業実証プロジェクト</x:v>
      </x:c>
      <x:c r="D62" s="7" t="str">
        <x:v>https://www.affrc.maff.go.jp/docs/smart_agri_pro/smart_agri_pro.htm</x:v>
      </x:c>
      <x:c r="E62" s="7" t="str"/>
      <x:c r="F62" s="7" t="str">
        <x:v>概要及び年度採択一覧</x:v>
      </x:c>
      <x:c r="G62" s="18" t="n">
        <x:v>46326</x:v>
      </x:c>
    </x:row>
    <x:row r="63" ht="40.400001525878906" customHeight="1">
      <x:c r="A63" s="7" t="str">
        <x:v>S056</x:v>
      </x:c>
      <x:c r="B63" s="7" t="str">
        <x:v>SRC-a37d4e2ae5</x:v>
      </x:c>
      <x:c r="C63" s="7" t="str">
        <x:v>北谷町における遠隔型自動運転移動サービス</x:v>
      </x:c>
      <x:c r="D63" s="7" t="str">
        <x:v>https://www.aist.go.jp/Portals/0/resource_images/aist_j/topics/to2021/to20210330/chatan_lastmile.pdf</x:v>
      </x:c>
      <x:c r="E63" s="7" t="str">
        <x:v>2021-03</x:v>
      </x:c>
      <x:c r="F63" s="7" t="str">
        <x:v>3月31日、遠隔1対2・車内保安員</x:v>
      </x:c>
      <x:c r="G63" s="18" t="n">
        <x:v>46326</x:v>
      </x:c>
    </x:row>
    <x:row r="64" ht="30" customHeight="1">
      <x:c r="A64" s="7" t="str">
        <x:v>S057</x:v>
      </x:c>
      <x:c r="B64" s="7" t="str">
        <x:v>SRC-e81ab0e964</x:v>
      </x:c>
      <x:c r="C64" s="7" t="str">
        <x:v>輪島市で遠隔型自動運転システムの実証評価を開始</x:v>
      </x:c>
      <x:c r="D64" s="7" t="str">
        <x:v>https://www.aist.go.jp/aist_j/news/announce/pr20171213.html</x:v>
      </x:c>
      <x:c r="E64" s="7" t="str">
        <x:v>2017-12-13</x:v>
      </x:c>
      <x:c r="F64" s="7" t="str">
        <x:v>12月18日実証開始</x:v>
      </x:c>
      <x:c r="G64" s="18" t="n">
        <x:v>46326</x:v>
      </x:c>
    </x:row>
    <x:row r="65" ht="30" customHeight="1">
      <x:c r="A65" s="7" t="str">
        <x:v>S058</x:v>
      </x:c>
      <x:c r="B65" s="7" t="str">
        <x:v>SRC-d3d8b500d6</x:v>
      </x:c>
      <x:c r="C65" s="7" t="str">
        <x:v>国内初のレベル3自動運転移動サービスを開始</x:v>
      </x:c>
      <x:c r="D65" s="7" t="str">
        <x:v>https://www.aist.go.jp/aist_j/news/au20210323.html</x:v>
      </x:c>
      <x:c r="E65" s="7" t="str">
        <x:v>2021-03-23</x:v>
      </x:c>
      <x:c r="F65" s="7" t="str">
        <x:v>3月25日本格運行開始</x:v>
      </x:c>
      <x:c r="G65" s="18" t="n">
        <x:v>46326</x:v>
      </x:c>
    </x:row>
    <x:row r="66" ht="30" customHeight="1">
      <x:c r="A66" s="7" t="str">
        <x:v>S059</x:v>
      </x:c>
      <x:c r="B66" s="7" t="str">
        <x:v>SRC-bd3fb938ed</x:v>
      </x:c>
      <x:c r="C66" s="7" t="str">
        <x:v>国内初のレベル4自動運転移動サービスの開始</x:v>
      </x:c>
      <x:c r="D66" s="7" t="str">
        <x:v>https://www.aist.go.jp/aist_j/news/au20230512.html</x:v>
      </x:c>
      <x:c r="E66" s="7" t="str">
        <x:v>2023-05-12</x:v>
      </x:c>
      <x:c r="F66" s="7" t="str">
        <x:v>特定自動運行許可・遠隔1対3</x:v>
      </x:c>
      <x:c r="G66" s="18" t="n">
        <x:v>46326</x:v>
      </x:c>
    </x:row>
    <x:row r="67" ht="30" customHeight="1">
      <x:c r="A67" s="7" t="str">
        <x:v>S060</x:v>
      </x:c>
      <x:c r="B67" s="7" t="str">
        <x:v>SRC-84c6819f9a</x:v>
      </x:c>
      <x:c r="C67" s="7" t="str">
        <x:v>端末交通システムの社会実装に向けた実証評価地域公募</x:v>
      </x:c>
      <x:c r="D67" s="7" t="str">
        <x:v>https://www.aist.go.jp/aist_j/news/pr20161107.html</x:v>
      </x:c>
      <x:c r="E67" s="7" t="str">
        <x:v>2016-11-07</x:v>
      </x:c>
      <x:c r="F67" s="7" t="str">
        <x:v>経産省・国交省共同委託事業の公募</x:v>
      </x:c>
      <x:c r="G67" s="18" t="n">
        <x:v>46326</x:v>
      </x:c>
    </x:row>
    <x:row r="68" ht="30" customHeight="1">
      <x:c r="A68" s="7" t="str">
        <x:v>S061</x:v>
      </x:c>
      <x:c r="B68" s="7" t="str">
        <x:v>SRC-789ae32241</x:v>
      </x:c>
      <x:c r="C68" s="7" t="str">
        <x:v>野田大臣会見：デジタル田園都市国家構想推進交付金</x:v>
      </x:c>
      <x:c r="D68" s="7" t="str">
        <x:v>https://www.cao.go.jp/minister/2111_s_noda/kaiken/20220318kaiken.html</x:v>
      </x:c>
      <x:c r="E68" s="7" t="str">
        <x:v>2022-03-18</x:v>
      </x:c>
      <x:c r="F68" s="7" t="str">
        <x:v>令和3年度補正200億円・創設と交付対象決定</x:v>
      </x:c>
      <x:c r="G68" s="18" t="n">
        <x:v>46326</x:v>
      </x:c>
    </x:row>
    <x:row r="69" ht="40.400001525878906" customHeight="1">
      <x:c r="A69" s="7" t="str">
        <x:v>S062</x:v>
      </x:c>
      <x:c r="B69" s="7" t="str">
        <x:v>SRC-730b20ee66</x:v>
      </x:c>
      <x:c r="C69" s="7" t="str">
        <x:v>地域未来交付金</x:v>
      </x:c>
      <x:c r="D69" s="7" t="str">
        <x:v>https://www.chisou.go.jp/sousei/about/chiikimiraikoufukin/index.html</x:v>
      </x:c>
      <x:c r="E69" s="7" t="str">
        <x:v>2026-10月採択公表を掲載／2026-10-31閲覧</x:v>
      </x:c>
      <x:c r="F69" s="7" t="str">
        <x:v>制度要綱2026-02-04、2026-04・10採択結果</x:v>
      </x:c>
      <x:c r="G69" s="18" t="n">
        <x:v>46326</x:v>
      </x:c>
    </x:row>
    <x:row r="70" ht="40.400001525878906" customHeight="1">
      <x:c r="A70" s="7" t="str">
        <x:v>S063</x:v>
      </x:c>
      <x:c r="B70" s="7" t="str">
        <x:v>SRC-da7ad753ec</x:v>
      </x:c>
      <x:c r="C70" s="7" t="str">
        <x:v>地域未来交付金デジタル実装型交付要綱</x:v>
      </x:c>
      <x:c r="D70" s="7" t="str">
        <x:v>https://www.chisou.go.jp/sousei/about/chiikimiraikoufukin/pdf/chiikimiraikouhukin_2025digital_koufuyoukou.pdf</x:v>
      </x:c>
      <x:c r="E70" s="7" t="str">
        <x:v>2026-03-02</x:v>
      </x:c>
      <x:c r="F70" s="7" t="str">
        <x:v>第1条・第2条。各類型の実際の補助率は別途要領で要確認</x:v>
      </x:c>
      <x:c r="G70" s="18" t="n">
        <x:v>46326</x:v>
      </x:c>
    </x:row>
    <x:row r="71" ht="30" customHeight="1">
      <x:c r="A71" s="7" t="str">
        <x:v>S064</x:v>
      </x:c>
      <x:c r="B71" s="7" t="str">
        <x:v>SRC-bcddb05111</x:v>
      </x:c>
      <x:c r="C71" s="7" t="str">
        <x:v>国土交通省 地方創生関連支援施策</x:v>
      </x:c>
      <x:c r="D71" s="7" t="str">
        <x:v>https://www.chisou.go.jp/sousei/about/mirai/list03/pdf/ministry_mlit.pdf</x:v>
      </x:c>
      <x:c r="E71" s="7" t="str"/>
      <x:c r="F71" s="7" t="str">
        <x:v>グリスロ：2018 5/13、2019 7/14、2020 6/20採択／応募</x:v>
      </x:c>
      <x:c r="G71" s="18" t="n">
        <x:v>46326</x:v>
      </x:c>
    </x:row>
    <x:row r="72" ht="30" customHeight="1">
      <x:c r="A72" s="7" t="str">
        <x:v>S065</x:v>
      </x:c>
      <x:c r="B72" s="7" t="str">
        <x:v>SRC-5cf5383cae</x:v>
      </x:c>
      <x:c r="C72" s="7" t="str">
        <x:v>新しい地方経済・生活環境創生交付金 デジタル実装型</x:v>
      </x:c>
      <x:c r="D72" s="7" t="str">
        <x:v>https://www.chisou.go.jp/sousei/about/shinchihoukouhukin/digital/index.html</x:v>
      </x:c>
      <x:c r="E72" s="7" t="str">
        <x:v>2025</x:v>
      </x:c>
      <x:c r="F72" s="7" t="str">
        <x:v>制度ページ・各類型</x:v>
      </x:c>
      <x:c r="G72" s="18" t="n">
        <x:v>46326</x:v>
      </x:c>
    </x:row>
    <x:row r="73" ht="30" customHeight="1">
      <x:c r="A73" s="7" t="str">
        <x:v>S066</x:v>
      </x:c>
      <x:c r="B73" s="7" t="str">
        <x:v>SRC-b7027fcd32</x:v>
      </x:c>
      <x:c r="C73" s="7" t="str">
        <x:v>未来技術社会実装事業 平成30年度選定事業取りまとめ報告書</x:v>
      </x:c>
      <x:c r="D73" s="7" t="str">
        <x:v>https://www.chisou.go.jp/tiiki/kinmirai/pdf/01_mirai_h30torimatome.pdf</x:v>
      </x:c>
      <x:c r="E73" s="7" t="str">
        <x:v>2021-03</x:v>
      </x:c>
      <x:c r="F73" s="7" t="str">
        <x:v>事業概要、地域実装協議会・2018年度選定事業</x:v>
      </x:c>
      <x:c r="G73" s="18" t="n">
        <x:v>46326</x:v>
      </x:c>
    </x:row>
    <x:row r="74" ht="30" customHeight="1">
      <x:c r="A74" s="7" t="str">
        <x:v>S067</x:v>
      </x:c>
      <x:c r="B74" s="7" t="str">
        <x:v>SRC-86dbdeccec</x:v>
      </x:c>
      <x:c r="C74" s="7" t="str">
        <x:v>福井市 はぴチケ開始</x:v>
      </x:c>
      <x:c r="D74" s="7" t="str">
        <x:v>https://www.city.fukui.lg.jp/kurasi/koutu/public/p070161.html</x:v>
      </x:c>
      <x:c r="E74" s="7" t="str">
        <x:v>2024-03-15</x:v>
      </x:c>
      <x:c r="F74" s="7" t="str">
        <x:v>2024-03-16ふくアプリ内で開始</x:v>
      </x:c>
      <x:c r="G74" s="18" t="n">
        <x:v>46326</x:v>
      </x:c>
    </x:row>
    <x:row r="75" ht="30" customHeight="1">
      <x:c r="A75" s="7" t="str">
        <x:v>S068</x:v>
      </x:c>
      <x:c r="B75" s="7" t="str">
        <x:v>SRC-14f79fae36</x:v>
      </x:c>
      <x:c r="C75" s="7" t="str">
        <x:v>2018年11月市長記者会見・グリスロ実証</x:v>
      </x:c>
      <x:c r="D75" s="7" t="str">
        <x:v>https://www.city.fukuyama.hiroshima.jp/site/shicho/137014.html</x:v>
      </x:c>
      <x:c r="E75" s="7" t="str">
        <x:v>2018-11</x:v>
      </x:c>
      <x:c r="F75" s="7" t="str">
        <x:v>鞆地区の実証</x:v>
      </x:c>
      <x:c r="G75" s="18" t="n">
        <x:v>46326</x:v>
      </x:c>
    </x:row>
    <x:row r="76" ht="30" customHeight="1">
      <x:c r="A76" s="7" t="str">
        <x:v>S069</x:v>
      </x:c>
      <x:c r="B76" s="7" t="str">
        <x:v>SRC-04660a1fbc</x:v>
      </x:c>
      <x:c r="C76" s="7" t="str">
        <x:v>市長公約進捗状況</x:v>
      </x:c>
      <x:c r="D76" s="7" t="str">
        <x:v>https://www.city.iruma.saitama.jp/material/files/group/4/kouyaku-shinchoku-R0409.pdf</x:v>
      </x:c>
      <x:c r="E76" s="7" t="str">
        <x:v>2022-09</x:v>
      </x:c>
      <x:c r="F76" s="7" t="str">
        <x:v>ASOVO、産官学連携健康・移動支援</x:v>
      </x:c>
      <x:c r="G76" s="18" t="n">
        <x:v>46326</x:v>
      </x:c>
    </x:row>
    <x:row r="77" ht="30" customHeight="1">
      <x:c r="A77" s="7" t="str">
        <x:v>S070</x:v>
      </x:c>
      <x:c r="B77" s="7" t="str">
        <x:v>SRC-62e072869c</x:v>
      </x:c>
      <x:c r="C77" s="7" t="str">
        <x:v>双海地区自動運転バスの試験運行休止</x:v>
      </x:c>
      <x:c r="D77" s="7" t="str">
        <x:v>https://www.city.iyo.lg.jp/kikakuseisaku/jidouunten-kyushi.html</x:v>
      </x:c>
      <x:c r="E77" s="7" t="str">
        <x:v>2025-07-23</x:v>
      </x:c>
      <x:c r="F77" s="7" t="str">
        <x:v>2024-02開始→2025補助不採択→2025-08-01から当面休止</x:v>
      </x:c>
      <x:c r="G77" s="18" t="n">
        <x:v>46326</x:v>
      </x:c>
    </x:row>
    <x:row r="78" ht="30" customHeight="1">
      <x:c r="A78" s="7" t="str">
        <x:v>S071</x:v>
      </x:c>
      <x:c r="B78" s="7" t="str">
        <x:v>SRC-2f236bc8f2</x:v>
      </x:c>
      <x:c r="C78" s="7" t="str">
        <x:v>自動運転に関する取組</x:v>
      </x:c>
      <x:c r="D78" s="7" t="str">
        <x:v>https://www.city.kasugai.lg.jp/shisei/machi/new_town/1022354/1024425/index.html</x:v>
      </x:c>
      <x:c r="E78" s="7" t="str">
        <x:v>2026-05-11</x:v>
      </x:c>
      <x:c r="F78" s="7" t="str">
        <x:v>2022/10/1手動開始、2023/2/1 L2化、2026/4未来シェアへ役割移管</x:v>
      </x:c>
      <x:c r="G78" s="18" t="n">
        <x:v>46326</x:v>
      </x:c>
    </x:row>
    <x:row r="79" ht="30" customHeight="1">
      <x:c r="A79" s="7" t="str">
        <x:v>S072</x:v>
      </x:c>
      <x:c r="B79" s="7" t="str">
        <x:v>SRC-ef2ccc06a7</x:v>
      </x:c>
      <x:c r="C79" s="7" t="str">
        <x:v>南花台モビリティ「クルクル」が地域再生大賞の特別賞を受賞</x:v>
      </x:c>
      <x:c r="D79" s="7" t="str">
        <x:v>https://www.city.kawachinagano.lg.jp/soshiki/2/106773.html</x:v>
      </x:c>
      <x:c r="E79" s="7" t="str">
        <x:v>2025-01-29</x:v>
      </x:c>
      <x:c r="F79" s="7" t="str">
        <x:v>運行主体・活動状況</x:v>
      </x:c>
      <x:c r="G79" s="18" t="n">
        <x:v>46326</x:v>
      </x:c>
    </x:row>
    <x:row r="80" ht="30" customHeight="1">
      <x:c r="A80" s="7" t="str">
        <x:v>S073</x:v>
      </x:c>
      <x:c r="B80" s="7" t="str">
        <x:v>SRC-8055476fc0</x:v>
      </x:c>
      <x:c r="C80" s="7" t="str">
        <x:v>南花台モビリティ「クルクル」の取組</x:v>
      </x:c>
      <x:c r="D80" s="7" t="str">
        <x:v>https://www.city.kawachinagano.lg.jp/soshiki/2/34689.html</x:v>
      </x:c>
      <x:c r="E80" s="7" t="str"/>
      <x:c r="F80" s="7" t="str">
        <x:v>2019年12月9日開始、実証結果掲載</x:v>
      </x:c>
      <x:c r="G80" s="18" t="n">
        <x:v>46326</x:v>
      </x:c>
    </x:row>
    <x:row r="81" ht="30" customHeight="1">
      <x:c r="A81" s="7" t="str">
        <x:v>S074</x:v>
      </x:c>
      <x:c r="B81" s="7" t="str">
        <x:v>SRC-7c332e66bc</x:v>
      </x:c>
      <x:c r="C81" s="7" t="str">
        <x:v>令和4年度以降の南花台モビリティ「クルクル」運行について</x:v>
      </x:c>
      <x:c r="D81" s="7" t="str">
        <x:v>https://www.city.kawachinagano.lg.jp/soshiki/2/86194.html</x:v>
      </x:c>
      <x:c r="E81" s="7" t="str">
        <x:v>2023-09-11</x:v>
      </x:c>
      <x:c r="F81" s="7" t="str">
        <x:v>環境省実証終了後の地域主体運行</x:v>
      </x:c>
      <x:c r="G81" s="18" t="n">
        <x:v>46326</x:v>
      </x:c>
    </x:row>
    <x:row r="82" ht="30" customHeight="1">
      <x:c r="A82" s="7" t="str">
        <x:v>S075</x:v>
      </x:c>
      <x:c r="B82" s="7" t="str">
        <x:v>SRC-f860ec03b5</x:v>
      </x:c>
      <x:c r="C82" s="7" t="str">
        <x:v>南花台グリーンスローモビリティ3年間の総括</x:v>
      </x:c>
      <x:c r="D82" s="7" t="str">
        <x:v>https://www.city.kawachinagano.lg.jp/uploaded/attachment/28288.pdf</x:v>
      </x:c>
      <x:c r="E82" s="7" t="str">
        <x:v>2021年度成果</x:v>
      </x:c>
      <x:c r="F82" s="7" t="str">
        <x:v>印刷頁14～18：運行形態、乗継、現金決済、意向と行動</x:v>
      </x:c>
      <x:c r="G82" s="18" t="n">
        <x:v>46326</x:v>
      </x:c>
    </x:row>
    <x:row r="83" ht="40.400001525878906" customHeight="1">
      <x:c r="A83" s="7" t="str">
        <x:v>S076</x:v>
      </x:c>
      <x:c r="B83" s="7" t="str">
        <x:v>SRC-afb7396463</x:v>
      </x:c>
      <x:c r="C83" s="7" t="str">
        <x:v>河内長野市地域公共交通会議資料</x:v>
      </x:c>
      <x:c r="D83" s="7" t="str">
        <x:v>https://www.city.kawachinagano.lg.jp/uploaded/attachment/37054.pdf</x:v>
      </x:c>
      <x:c r="E83" s="7" t="str">
        <x:v>2024-01-31</x:v>
      </x:c>
      <x:c r="F83" s="7" t="str">
        <x:v>クルクル収支・AI配車停止・市負担費用
PDF p3：令和6年度支出予算、46万円枠と別建142万円、想定使用料24万円</x:v>
      </x:c>
      <x:c r="G83" s="18" t="n">
        <x:v>46326</x:v>
      </x:c>
    </x:row>
    <x:row r="84" ht="30" customHeight="1">
      <x:c r="A84" s="7" t="str">
        <x:v>S077</x:v>
      </x:c>
      <x:c r="B84" s="7" t="str">
        <x:v>SRC-ef928050fb</x:v>
      </x:c>
      <x:c r="C84" s="7" t="str">
        <x:v>令和6年度主要施策の実績報告書</x:v>
      </x:c>
      <x:c r="D84" s="7" t="str">
        <x:v>https://www.city.kawachinagano.lg.jp/uploaded/attachment/43648.pdf</x:v>
      </x:c>
      <x:c r="E84" s="7" t="str">
        <x:v>2025年（2024年度実績）</x:v>
      </x:c>
      <x:c r="F84" s="7" t="str">
        <x:v>南花台クルクル：2827人、302700円、住民会議12回</x:v>
      </x:c>
      <x:c r="G84" s="18" t="n">
        <x:v>46326</x:v>
      </x:c>
    </x:row>
    <x:row r="85" ht="30" customHeight="1">
      <x:c r="A85" s="7" t="str">
        <x:v>S078</x:v>
      </x:c>
      <x:c r="B85" s="7" t="str">
        <x:v>SRC-a5bcf01cc7</x:v>
      </x:c>
      <x:c r="C85" s="7" t="str">
        <x:v>南花台地域まちづくり事業実績</x:v>
      </x:c>
      <x:c r="D85" s="7" t="str">
        <x:v>https://www.city.kawachinagano.lg.jp/uploaded/attachment/44006.pdf</x:v>
      </x:c>
      <x:c r="E85" s="7" t="str">
        <x:v>2025年（2024年度実績）</x:v>
      </x:c>
      <x:c r="F85" s="7" t="str">
        <x:v>2022～2024年度の運行実績表</x:v>
      </x:c>
      <x:c r="G85" s="18" t="n">
        <x:v>46326</x:v>
      </x:c>
    </x:row>
    <x:row r="86" ht="30" customHeight="1">
      <x:c r="A86" s="7" t="str">
        <x:v>S079</x:v>
      </x:c>
      <x:c r="B86" s="7" t="str">
        <x:v>SRC-65d143b215</x:v>
      </x:c>
      <x:c r="C86" s="7" t="str">
        <x:v>湖西市地域公共交通計画案参考資料</x:v>
      </x:c>
      <x:c r="D86" s="7" t="str">
        <x:v>https://www.city.kosai.shizuoka.jp/material/files/group/26/shiryou1sannkou.pdf</x:v>
      </x:c>
      <x:c r="E86" s="7" t="str">
        <x:v>2025-12-09</x:v>
      </x:c>
      <x:c r="F86" s="7" t="str">
        <x:v>p.43、企業シャトルバス実証履歴・FY2024 505人/5か月・目標</x:v>
      </x:c>
      <x:c r="G86" s="18" t="n">
        <x:v>46326</x:v>
      </x:c>
    </x:row>
    <x:row r="87" ht="30" customHeight="1">
      <x:c r="A87" s="7" t="str">
        <x:v>S080</x:v>
      </x:c>
      <x:c r="B87" s="7" t="str">
        <x:v>SRC-f906f5adbb</x:v>
      </x:c>
      <x:c r="C87" s="7" t="str">
        <x:v>湖西市BaaSの取組</x:v>
      </x:c>
      <x:c r="D87" s="7" t="str">
        <x:v>https://www.city.kosai.shizuoka.jp/material/files/group/9/20250310_007_dx.pdf</x:v>
      </x:c>
      <x:c r="E87" s="7" t="str">
        <x:v>2025-03-10</x:v>
      </x:c>
      <x:c r="F87" s="7" t="str">
        <x:v>事前予約・登録の撤廃</x:v>
      </x:c>
      <x:c r="G87" s="18" t="n">
        <x:v>46326</x:v>
      </x:c>
    </x:row>
    <x:row r="88" ht="40.400001525878906" customHeight="1">
      <x:c r="A88" s="7" t="str">
        <x:v>S081</x:v>
      </x:c>
      <x:c r="B88" s="7" t="str">
        <x:v>SRC-daa1cc130f</x:v>
      </x:c>
      <x:c r="C88" s="7" t="str">
        <x:v>湖西市企業シャトルBaaSについて</x:v>
      </x:c>
      <x:c r="D88" s="7" t="str">
        <x:v>https://www.city.kosai.shizuoka.jp/soshikiichiran/toshikeikakuka/gyomuannai/koutuu/kigyousyatorubaas/10651.html</x:v>
      </x:c>
      <x:c r="E88" s="7" t="str">
        <x:v>2026-03-13</x:v>
      </x:c>
      <x:c r="F88" s="7" t="str">
        <x:v>冒頭：2026/1/14通年運行開始。対象企業：デンソー、浜名湖電装</x:v>
      </x:c>
      <x:c r="G88" s="18" t="n">
        <x:v>46326</x:v>
      </x:c>
    </x:row>
    <x:row r="89" ht="30" customHeight="1">
      <x:c r="A89" s="7" t="str">
        <x:v>S082</x:v>
      </x:c>
      <x:c r="B89" s="7" t="str">
        <x:v>SRC-25815fa80f</x:v>
      </x:c>
      <x:c r="C89" s="7" t="str">
        <x:v>熊本地域乗合バス事業共同経営に関する状況報告</x:v>
      </x:c>
      <x:c r="D89" s="7" t="str">
        <x:v>https://www.city.kumamoto.jp/kiji0032432/3_2432_495498_up_emz8jvz1.pdf</x:v>
      </x:c>
      <x:c r="E89" s="7" t="str">
        <x:v>2026-03</x:v>
      </x:c>
      <x:c r="F89" s="7" t="str">
        <x:v>資料p2–3経緯、p5–10利用・財務・担い手</x:v>
      </x:c>
      <x:c r="G89" s="18" t="n">
        <x:v>46326</x:v>
      </x:c>
    </x:row>
    <x:row r="90" ht="30" customHeight="1">
      <x:c r="A90" s="7" t="str">
        <x:v>S083</x:v>
      </x:c>
      <x:c r="B90" s="7" t="str">
        <x:v>SRC-2f41ffbca3</x:v>
      </x:c>
      <x:c r="C90" s="7" t="str">
        <x:v>前橋市 令和5年度行政評価</x:v>
      </x:c>
      <x:c r="D90" s="7" t="str">
        <x:v>https://www.city.maebashi.gunma.jp/material/files/group/7/R5gyouseihyoyukahoukokusyo.pdf</x:v>
      </x:c>
      <x:c r="E90" s="7" t="str">
        <x:v>2023</x:v>
      </x:c>
      <x:c r="F90" s="7" t="str">
        <x:v>資料p113：GunMaaS移行2023-03-15、利用者指標がサイト訪問人数</x:v>
      </x:c>
      <x:c r="G90" s="18" t="n">
        <x:v>46326</x:v>
      </x:c>
    </x:row>
    <x:row r="91" ht="40.400001525878906" customHeight="1">
      <x:c r="A91" s="7" t="str">
        <x:v>S084</x:v>
      </x:c>
      <x:c r="B91" s="7" t="str">
        <x:v>SRC-251a6bcb0a</x:v>
      </x:c>
      <x:c r="C91" s="7" t="str">
        <x:v>松本市長記者会見</x:v>
      </x:c>
      <x:c r="D91" s="7" t="str">
        <x:v>https://www.city.matsumoto.nagano.jp/site/yokosomayorsoffice/178856.html</x:v>
      </x:c>
      <x:c r="E91" s="7" t="str">
        <x:v>2025-07-30</x:v>
      </x:c>
      <x:c r="F91" s="7" t="str">
        <x:v>質疑後半「乗鞍の脱炭素先行地域…辞退」の問答。web本文行331～348。市のAI文字起こし注意書きあり
後半の脱炭素先行地域辞退質疑：資金・期限、他手法継続</x:v>
      </x:c>
      <x:c r="G91" s="18" t="n">
        <x:v>46326</x:v>
      </x:c>
    </x:row>
    <x:row r="92" ht="40.400001525878906" customHeight="1">
      <x:c r="A92" s="7" t="str">
        <x:v>S085</x:v>
      </x:c>
      <x:c r="B92" s="7" t="str">
        <x:v>SRC-fa66663dbc</x:v>
      </x:c>
      <x:c r="C92" s="7" t="str">
        <x:v>松本市長記者会見</x:v>
      </x:c>
      <x:c r="D92" s="7" t="str">
        <x:v>https://www.city.matsumoto.nagano.jp/site/yokosomayorsoffice/182961.html</x:v>
      </x:c>
      <x:c r="E92" s="7" t="str">
        <x:v>2025-09-11</x:v>
      </x:c>
      <x:c r="F92" s="7" t="str">
        <x:v>質疑「7月に方針決定…辞退を環境省に届け出る」からの問答。web本文行253～264
脱炭素先行地域辞退届出の質疑</x:v>
      </x:c>
      <x:c r="G92" s="18" t="n">
        <x:v>46326</x:v>
      </x:c>
    </x:row>
    <x:row r="93" ht="30" customHeight="1">
      <x:c r="A93" s="7" t="str">
        <x:v>S086</x:v>
      </x:c>
      <x:c r="B93" s="7" t="str">
        <x:v>SRC-7a5564c4a6</x:v>
      </x:c>
      <x:c r="C93" s="7" t="str">
        <x:v>乗鞍高原地域が脱炭素先行地域に採択</x:v>
      </x:c>
      <x:c r="D93" s="7" t="str">
        <x:v>https://www.city.matsumoto.nagano.jp/soshiki/51/76758.html</x:v>
      </x:c>
      <x:c r="E93" s="7" t="str">
        <x:v>2022-04-27</x:v>
      </x:c>
      <x:c r="F93" s="7" t="str">
        <x:v>採択・提案概要</x:v>
      </x:c>
      <x:c r="G93" s="18" t="n">
        <x:v>46326</x:v>
      </x:c>
    </x:row>
    <x:row r="94" ht="40.400001525878906" customHeight="1">
      <x:c r="A94" s="7" t="str">
        <x:v>S087</x:v>
      </x:c>
      <x:c r="B94" s="7" t="str">
        <x:v>SRC-74282be904</x:v>
      </x:c>
      <x:c r="C94" s="7" t="str">
        <x:v>令和7年松本市議会第2回臨時会 市長提案説明</x:v>
      </x:c>
      <x:c r="D94" s="7" t="str">
        <x:v>https://www.city.matsumoto.nagano.jp/uploaded/attachment/114806.pdf</x:v>
      </x:c>
      <x:c r="E94" s="7" t="str">
        <x:v>2025-07-29</x:v>
      </x:c>
      <x:c r="F94" s="7" t="str">
        <x:v>p.2「次に、脱炭素先行地域について」：辞退判断、資材高・期限・代替案と地域計画の乖離
PDF p2：辞退が適当と判断、国庫補助金取扱協議、別手法で継続</x:v>
      </x:c>
      <x:c r="G94" s="18" t="n">
        <x:v>46326</x:v>
      </x:c>
    </x:row>
    <x:row r="95" ht="30" customHeight="1">
      <x:c r="A95" s="7" t="str">
        <x:v>S088</x:v>
      </x:c>
      <x:c r="B95" s="7" t="str">
        <x:v>SRC-9c4df5bed6</x:v>
      </x:c>
      <x:c r="C95" s="7" t="str">
        <x:v>令和7年度第3回松本市環境審議会議事録</x:v>
      </x:c>
      <x:c r="D95" s="7" t="str">
        <x:v>https://www.city.matsumoto.nagano.jp/uploaded/attachment/120342.pdf</x:v>
      </x:c>
      <x:c r="E95" s="7" t="str">
        <x:v>2025-09-26開催（公表日不明）</x:v>
      </x:c>
      <x:c r="F95" s="7" t="str">
        <x:v>PDF p28–30：辞退後の地域方針、9月1日説明会、補助返還は協議中</x:v>
      </x:c>
      <x:c r="G95" s="18" t="n">
        <x:v>46326</x:v>
      </x:c>
    </x:row>
    <x:row r="96" ht="30" customHeight="1">
      <x:c r="A96" s="7" t="str">
        <x:v>S089</x:v>
      </x:c>
      <x:c r="B96" s="7" t="str">
        <x:v>SRC-e961907831</x:v>
      </x:c>
      <x:c r="C96" s="7" t="str">
        <x:v>乗鞍観光センター再整備基本構想・基本計画</x:v>
      </x:c>
      <x:c r="D96" s="7" t="str">
        <x:v>https://www.city.matsumoto.nagano.jp/uploaded/attachment/74679.pdf</x:v>
      </x:c>
      <x:c r="E96" s="7" t="str">
        <x:v>2023年</x:v>
      </x:c>
      <x:c r="F96" s="7" t="str">
        <x:v>交通結節点・EV充電所を含む拠点計画</x:v>
      </x:c>
      <x:c r="G96" s="18" t="n">
        <x:v>46326</x:v>
      </x:c>
    </x:row>
    <x:row r="97" ht="30" customHeight="1">
      <x:c r="A97" s="7" t="str">
        <x:v>S090</x:v>
      </x:c>
      <x:c r="B97" s="7" t="str">
        <x:v>SRC-64c0e37087</x:v>
      </x:c>
      <x:c r="C97" s="7" t="str">
        <x:v>高齢者が生き生きと暮らせるまちをめざして</x:v>
      </x:c>
      <x:c r="D97" s="7" t="str">
        <x:v>https://www.city.mitoyo.lg.jp/hotnews_old/reiwa2/hot2010/7339.html</x:v>
      </x:c>
      <x:c r="E97" s="7" t="str">
        <x:v>2020-10-22</x:v>
      </x:c>
      <x:c r="F97" s="7" t="str">
        <x:v>10月5日市・社協・ダイハツ協定</x:v>
      </x:c>
      <x:c r="G97" s="18" t="n">
        <x:v>46326</x:v>
      </x:c>
    </x:row>
    <x:row r="98" ht="30" customHeight="1">
      <x:c r="A98" s="7" t="str">
        <x:v>S091</x:v>
      </x:c>
      <x:c r="B98" s="7" t="str">
        <x:v>SRC-e037e71a0a</x:v>
      </x:c>
      <x:c r="C98" s="7" t="str">
        <x:v>共同送迎サービス いよいよ本格運行</x:v>
      </x:c>
      <x:c r="D98" s="7" t="str">
        <x:v>https://www.city.mitoyo.lg.jp/hotnews_old/reiwa4/202206hot/9757.html</x:v>
      </x:c>
      <x:c r="E98" s="7" t="str">
        <x:v>2022-06-06</x:v>
      </x:c>
      <x:c r="F98" s="7" t="str">
        <x:v>福祉有償運送、市社協主体、本山タクシー運行</x:v>
      </x:c>
      <x:c r="G98" s="18" t="n">
        <x:v>46326</x:v>
      </x:c>
    </x:row>
    <x:row r="99" ht="40.400001525878906" customHeight="1">
      <x:c r="A99" s="7" t="str">
        <x:v>S092</x:v>
      </x:c>
      <x:c r="B99" s="7" t="str">
        <x:v>SRC-10c4bb0955</x:v>
      </x:c>
      <x:c r="C99" s="7" t="str">
        <x:v>令和5年度主要施策成果説明書</x:v>
      </x:c>
      <x:c r="D99" s="7" t="str">
        <x:v>https://www.city.miyama.lg.jp/s008/shisei/070/020/R5syuyousesaku.pdf</x:v>
      </x:c>
      <x:c r="E99" s="7" t="str">
        <x:v>2024-09-03</x:v>
      </x:c>
      <x:c r="F99" s="7" t="str">
        <x:v>PDF p51–52（本文p50–51）：2024-03-31終了、159人、委託料3,897,446円
PDF p52</x:v>
      </x:c>
      <x:c r="G99" s="18" t="n">
        <x:v>46326</x:v>
      </x:c>
    </x:row>
    <x:row r="100" ht="30" customHeight="1">
      <x:c r="A100" s="7" t="str">
        <x:v>S093</x:v>
      </x:c>
      <x:c r="B100" s="7" t="str">
        <x:v>SRC-f2fb94be7b</x:v>
      </x:c>
      <x:c r="C100" s="7" t="str">
        <x:v>自動運転サービスの今後の方針について</x:v>
      </x:c>
      <x:c r="D100" s="7" t="str">
        <x:v>https://www.city.miyama.lg.jp/s068/kurashi/giandaiichigo.pdf</x:v>
      </x:c>
      <x:c r="E100" s="7" t="str"/>
      <x:c r="F100" s="7" t="str">
        <x:v>導入経緯表：2018短期・長期／2023地域移管</x:v>
      </x:c>
      <x:c r="G100" s="18" t="n">
        <x:v>46326</x:v>
      </x:c>
    </x:row>
    <x:row r="101" ht="30" customHeight="1">
      <x:c r="A101" s="7" t="str">
        <x:v>S094</x:v>
      </x:c>
      <x:c r="B101" s="7" t="str">
        <x:v>SRC-240fd47012</x:v>
      </x:c>
      <x:c r="C101" s="7" t="str">
        <x:v>西尾市 高齢者タクシー利用支援事業</x:v>
      </x:c>
      <x:c r="D101" s="7" t="str">
        <x:v>https://www.city.nishio.aichi.jp/kenkofukushi/kourei/1001451/1002501.html</x:v>
      </x:c>
      <x:c r="E101" s="7" t="str">
        <x:v>2025-06-25</x:v>
      </x:c>
      <x:c r="F101" s="7" t="str">
        <x:v>2026-10-31確認時も2025-06更新、500円助成券月3枚案内。2026デジタチ実装の独立確認には不足</x:v>
      </x:c>
      <x:c r="G101" s="18" t="n">
        <x:v>46326</x:v>
      </x:c>
    </x:row>
    <x:row r="102" ht="30" customHeight="1">
      <x:c r="A102" s="7" t="str">
        <x:v>S095</x:v>
      </x:c>
      <x:c r="B102" s="7" t="str">
        <x:v>SRC-4f1e2a8991</x:v>
      </x:c>
      <x:c r="C102" s="7" t="str">
        <x:v>広報おおだ 2021年5月号</x:v>
      </x:c>
      <x:c r="D102" s="7" t="str">
        <x:v>https://www.city.oda.lg.jp/files/original/2021042211214575288dbeee7.pdf</x:v>
      </x:c>
      <x:c r="E102" s="7" t="str">
        <x:v>2021-05</x:v>
      </x:c>
      <x:c r="F102" s="7" t="str">
        <x:v>ぎんざんカート有償運行</x:v>
      </x:c>
      <x:c r="G102" s="18" t="n">
        <x:v>46326</x:v>
      </x:c>
    </x:row>
    <x:row r="103" ht="30" customHeight="1">
      <x:c r="A103" s="7" t="str">
        <x:v>S096</x:v>
      </x:c>
      <x:c r="B103" s="7" t="str">
        <x:v>SRC-3f73b78582</x:v>
      </x:c>
      <x:c r="C103" s="7" t="str">
        <x:v>小田原市 地域の再生可能エネルギーを活用したEVシェアリング</x:v>
      </x:c>
      <x:c r="D103" s="7" t="str">
        <x:v>https://www.city.odawara.kanagawa.jp/field/envi/energy/electric_vehicle/ki-20200148.html</x:v>
      </x:c>
      <x:c r="E103" s="7" t="str"/>
      <x:c r="F103" s="7" t="str">
        <x:v>制度との接続・eemo</x:v>
      </x:c>
      <x:c r="G103" s="18" t="n">
        <x:v>46326</x:v>
      </x:c>
    </x:row>
    <x:row r="104" ht="40.400001525878906" customHeight="1">
      <x:c r="A104" s="7" t="str">
        <x:v>S097</x:v>
      </x:c>
      <x:c r="B104" s="7" t="str">
        <x:v>SRC-602cc6f972</x:v>
      </x:c>
      <x:c r="C104" s="7" t="str">
        <x:v>小田原市気候変動対策推進計画 令和7年度（令和6年度実績）年次報告書（PDF表紙は案）</x:v>
      </x:c>
      <x:c r="D104" s="7" t="str">
        <x:v>https://www.city.odawara.kanagawa.jp/global-image/units/670149/1-20260305105128_b69a8e1a0d28d1.pdf</x:v>
      </x:c>
      <x:c r="E104" s="7" t="str">
        <x:v>2026-03</x:v>
      </x:c>
      <x:c r="F104" s="7" t="str">
        <x:v>印刷p.31 公用EV／p.45 環境審議会の分母指摘</x:v>
      </x:c>
      <x:c r="G104" s="18" t="n">
        <x:v>46326</x:v>
      </x:c>
    </x:row>
    <x:row r="105" ht="40.400001525878906" customHeight="1">
      <x:c r="A105" s="7" t="str">
        <x:v>S098</x:v>
      </x:c>
      <x:c r="B105" s="7" t="str">
        <x:v>SRC-9540ddcf59</x:v>
      </x:c>
      <x:c r="C105" s="7" t="str">
        <x:v>小田原市気候変動対策推進計画 令和5年度実績報告</x:v>
      </x:c>
      <x:c r="D105" s="7" t="str">
        <x:v>https://www.city.odawara.kanagawa.jp/global-image/units/720789/1-20260305105907_b69a8e36bc156c.pdf</x:v>
      </x:c>
      <x:c r="E105" s="7" t="str">
        <x:v>2025-03作成、2026-03にURL更新（2023年度実績）</x:v>
      </x:c>
      <x:c r="F105" s="7" t="str">
        <x:v>p.28 公用EV走行と排出削減算式</x:v>
      </x:c>
      <x:c r="G105" s="18" t="n">
        <x:v>46326</x:v>
      </x:c>
    </x:row>
    <x:row r="106" ht="30" customHeight="1">
      <x:c r="A106" s="7" t="str">
        <x:v>S099</x:v>
      </x:c>
      <x:c r="B106" s="7" t="str">
        <x:v>SRC-d77ac5f76b</x:v>
      </x:c>
      <x:c r="C106" s="7" t="str">
        <x:v>広報小田原 地域の再エネとEVシェア</x:v>
      </x:c>
      <x:c r="D106" s="7" t="str">
        <x:v>https://www.city.odawara.kanagawa.jp/public/detail.php?id=11235</x:v>
      </x:c>
      <x:c r="E106" s="7" t="str">
        <x:v>2021年</x:v>
      </x:c>
      <x:c r="F106" s="7" t="str">
        <x:v>一部ステーションの再エネ供給</x:v>
      </x:c>
      <x:c r="G106" s="18" t="n">
        <x:v>46326</x:v>
      </x:c>
    </x:row>
    <x:row r="107" ht="30" customHeight="1">
      <x:c r="A107" s="7" t="str">
        <x:v>S100</x:v>
      </x:c>
      <x:c r="B107" s="7" t="str">
        <x:v>SRC-205c7e7740</x:v>
      </x:c>
      <x:c r="C107" s="7" t="str">
        <x:v>瀬戸田町 グリーンスローモビリティ秋の実証運行案内</x:v>
      </x:c>
      <x:c r="D107" s="7" t="str">
        <x:v>https://www.city.onomichi.hiroshima.jp/uploaded/attachment/31064.pdf</x:v>
      </x:c>
      <x:c r="E107" s="7" t="str">
        <x:v>2021年</x:v>
      </x:c>
      <x:c r="F107" s="7" t="str">
        <x:v>実証日程・利用案内</x:v>
      </x:c>
      <x:c r="G107" s="18" t="n">
        <x:v>46326</x:v>
      </x:c>
    </x:row>
    <x:row r="108" ht="30" customHeight="1">
      <x:c r="A108" s="7" t="str">
        <x:v>S101</x:v>
      </x:c>
      <x:c r="B108" s="7" t="str">
        <x:v>SRC-0df8a26dad</x:v>
      </x:c>
      <x:c r="C108" s="7" t="str">
        <x:v>相模原市長会見</x:v>
      </x:c>
      <x:c r="D108" s="7" t="str">
        <x:v>https://www.city.sagamihara.kanagawa.jp/shisei/1026709/mayor/1009760/1030513/1030710.html</x:v>
      </x:c>
      <x:c r="E108" s="7" t="str">
        <x:v>2024-05</x:v>
      </x:c>
      <x:c r="F108" s="7" t="str">
        <x:v>運転手の確保が課題となる地区について</x:v>
      </x:c>
      <x:c r="G108" s="18" t="n">
        <x:v>46326</x:v>
      </x:c>
    </x:row>
    <x:row r="109" ht="30" customHeight="1">
      <x:c r="A109" s="7" t="str">
        <x:v>S102</x:v>
      </x:c>
      <x:c r="B109" s="7" t="str">
        <x:v>SRC-8a018442fd</x:v>
      </x:c>
      <x:c r="C109" s="7" t="str">
        <x:v>相模原市 グリーンスローモビリティ</x:v>
      </x:c>
      <x:c r="D109" s="7" t="str">
        <x:v>https://www.city.sagamihara.kanagawa.jp/shisei/1026823/toshikotsu/1029044.html</x:v>
      </x:c>
      <x:c r="E109" s="7" t="str">
        <x:v>2026-04-09</x:v>
      </x:c>
      <x:c r="F109" s="7" t="str">
        <x:v>本格運行開始：若葉台2025-04-01、新磯2026-03-28。地域ボランティア運転</x:v>
      </x:c>
      <x:c r="G109" s="18" t="n">
        <x:v>46326</x:v>
      </x:c>
    </x:row>
    <x:row r="110" ht="30" customHeight="1">
      <x:c r="A110" s="7" t="str">
        <x:v>S103</x:v>
      </x:c>
      <x:c r="B110" s="7" t="str">
        <x:v>SRC-3005cf57c0</x:v>
      </x:c>
      <x:c r="C110" s="7" t="str">
        <x:v>さいたま E-デコ活ニュース第2号</x:v>
      </x:c>
      <x:c r="D110" s="7" t="str">
        <x:v>https://www.city.saitama.lg.jp/001/009/015/010/004/p116572_d/fil/E-decokatsu_News_2.pdf</x:v>
      </x:c>
      <x:c r="E110" s="7" t="str">
        <x:v>2025-04</x:v>
      </x:c>
      <x:c r="F110" s="7" t="str">
        <x:v>p.5 緑区・見沼区で稼働</x:v>
      </x:c>
      <x:c r="G110" s="18" t="n">
        <x:v>46326</x:v>
      </x:c>
    </x:row>
    <x:row r="111" ht="30" customHeight="1">
      <x:c r="A111" s="7" t="str">
        <x:v>S104</x:v>
      </x:c>
      <x:c r="B111" s="7" t="str">
        <x:v>SRC-449663c5ee</x:v>
      </x:c>
      <x:c r="C111" s="7" t="str">
        <x:v>さいたま市 JFEエンジニアリングとの実証</x:v>
      </x:c>
      <x:c r="D111" s="7" t="str">
        <x:v>https://www.city.saitama.lg.jp/001/009/015/e-kizuna/kyoutei/p097814.html</x:v>
      </x:c>
      <x:c r="E111" s="7" t="str">
        <x:v>2024-12-13</x:v>
      </x:c>
      <x:c r="F111" s="7" t="str">
        <x:v>実証2台・交換58秒</x:v>
      </x:c>
      <x:c r="G111" s="18" t="n">
        <x:v>46326</x:v>
      </x:c>
    </x:row>
    <x:row r="112" ht="30" customHeight="1">
      <x:c r="A112" s="7" t="str">
        <x:v>S105</x:v>
      </x:c>
      <x:c r="B112" s="7" t="str">
        <x:v>SRC-6a6efd6b68</x:v>
      </x:c>
      <x:c r="C112" s="7" t="str">
        <x:v>バッテリー交換式EVごみ収集車実証開始</x:v>
      </x:c>
      <x:c r="D112" s="7" t="str">
        <x:v>https://www.city.saitama.lg.jp/006/014/008/003/012/011/p112653.html</x:v>
      </x:c>
      <x:c r="E112" s="7" t="str">
        <x:v>2024-02-22</x:v>
      </x:c>
      <x:c r="F112" s="7" t="str">
        <x:v>2024年4月実証開始予定</x:v>
      </x:c>
      <x:c r="G112" s="18" t="n">
        <x:v>46326</x:v>
      </x:c>
    </x:row>
    <x:row r="113" ht="30" customHeight="1">
      <x:c r="A113" s="7" t="str">
        <x:v>S106</x:v>
      </x:c>
      <x:c r="B113" s="7" t="str">
        <x:v>SRC-1b1c8e79eb</x:v>
      </x:c>
      <x:c r="C113" s="7" t="str">
        <x:v>令和9年度 国の施策・予算に対する提案・要望（前期）</x:v>
      </x:c>
      <x:c r="D113" s="7" t="str">
        <x:v>https://www.city.saitama.lg.jp/006/014/008/003/015/003/p131508_d/fil/r9zenkiyoubou.pdf</x:v>
      </x:c>
      <x:c r="E113" s="7" t="str">
        <x:v>2026-06</x:v>
      </x:c>
      <x:c r="F113" s="7" t="str">
        <x:v>p.80 EVごみ収集車未商用化、量産・運用費支援要望</x:v>
      </x:c>
      <x:c r="G113" s="18" t="n">
        <x:v>46326</x:v>
      </x:c>
    </x:row>
    <x:row r="114" ht="30" customHeight="1">
      <x:c r="A114" s="7" t="str">
        <x:v>S107</x:v>
      </x:c>
      <x:c r="B114" s="7" t="str">
        <x:v>SRC-115881087c</x:v>
      </x:c>
      <x:c r="C114" s="7" t="str">
        <x:v>広報しおじり2022年4月号</x:v>
      </x:c>
      <x:c r="D114" s="7" t="str">
        <x:v>https://www.city.shiojiri.lg.jp/soshiki/8/21176.html</x:v>
      </x:c>
      <x:c r="E114" s="7" t="str">
        <x:v>2022-03-29</x:v>
      </x:c>
      <x:c r="F114" s="7" t="str">
        <x:v>2020年度無償、2021年度有償実証、2022-04-01本格化</x:v>
      </x:c>
      <x:c r="G114" s="18" t="n">
        <x:v>46326</x:v>
      </x:c>
    </x:row>
    <x:row r="115" ht="30" customHeight="1">
      <x:c r="A115" s="7" t="str">
        <x:v>S108</x:v>
      </x:c>
      <x:c r="B115" s="7" t="str">
        <x:v>SRC-21eeb6d244</x:v>
      </x:c>
      <x:c r="C115" s="7" t="str">
        <x:v>広報しおじり2024年4月号</x:v>
      </x:c>
      <x:c r="D115" s="7" t="str">
        <x:v>https://www.city.shiojiri.lg.jp/uploaded/attachment/28013.pdf</x:v>
      </x:c>
      <x:c r="E115" s="7" t="str">
        <x:v>2024-04</x:v>
      </x:c>
      <x:c r="F115" s="7" t="str">
        <x:v>広丘・吉田2024-04-01本格化、運賃と待ち時間説明</x:v>
      </x:c>
      <x:c r="G115" s="18" t="n">
        <x:v>46326</x:v>
      </x:c>
    </x:row>
    <x:row r="116" ht="30" customHeight="1">
      <x:c r="A116" s="7" t="str">
        <x:v>S109</x:v>
      </x:c>
      <x:c r="B116" s="7" t="str">
        <x:v>SRC-a3aa12f026</x:v>
      </x:c>
      <x:c r="C116" s="7" t="str">
        <x:v>塩尻市 行政評価2025</x:v>
      </x:c>
      <x:c r="D116" s="7" t="str">
        <x:v>https://www.city.shiojiri.lg.jp/uploaded/attachment/39971.pdf</x:v>
      </x:c>
      <x:c r="E116" s="7" t="str">
        <x:v>2025</x:v>
      </x:c>
      <x:c r="F116" s="7" t="str">
        <x:v>PDF p5–7：片丘利用・継続意向・待ち時間・定時便併用（表内事務事業評価）</x:v>
      </x:c>
      <x:c r="G116" s="18" t="n">
        <x:v>46326</x:v>
      </x:c>
    </x:row>
    <x:row r="117" ht="30" customHeight="1">
      <x:c r="A117" s="7" t="str">
        <x:v>S110</x:v>
      </x:c>
      <x:c r="B117" s="7" t="str">
        <x:v>SRC-a0a1581a4c</x:v>
      </x:c>
      <x:c r="C117" s="7" t="str">
        <x:v>チョイソコかりんちゃん概要</x:v>
      </x:c>
      <x:c r="D117" s="7" t="str">
        <x:v>https://www.city.suwa.lg.jp/site/bus/66256.html</x:v>
      </x:c>
      <x:c r="E117" s="7" t="str">
        <x:v>2026-04-01</x:v>
      </x:c>
      <x:c r="F117" s="7" t="str">
        <x:v>運行時間、2026-04-08～2027-03-31土日祝日テスト運行、運賃・電話/ネット予約</x:v>
      </x:c>
      <x:c r="G117" s="18" t="n">
        <x:v>46326</x:v>
      </x:c>
    </x:row>
    <x:row r="118" ht="30" customHeight="1">
      <x:c r="A118" s="7" t="str">
        <x:v>S111</x:v>
      </x:c>
      <x:c r="B118" s="7" t="str">
        <x:v>SRC-04925820e8</x:v>
      </x:c>
      <x:c r="C118" s="7" t="str">
        <x:v>広報すわ2025年2月号</x:v>
      </x:c>
      <x:c r="D118" s="7" t="str">
        <x:v>https://www.city.suwa.lg.jp/uploaded/attachment/46118.pdf</x:v>
      </x:c>
      <x:c r="E118" s="7" t="str">
        <x:v>2025-02</x:v>
      </x:c>
      <x:c r="F118" s="7" t="str">
        <x:v>p18：2024-10～2025-09テスト期間内の無料・週末・時間延長の段階計画</x:v>
      </x:c>
      <x:c r="G118" s="18" t="n">
        <x:v>46326</x:v>
      </x:c>
    </x:row>
    <x:row r="119" ht="30" customHeight="1">
      <x:c r="A119" s="7" t="str">
        <x:v>S112</x:v>
      </x:c>
      <x:c r="B119" s="7" t="str">
        <x:v>SRC-d532d0a46b</x:v>
      </x:c>
      <x:c r="C119" s="7" t="str">
        <x:v>諏訪市デジ田交付金 担当課効果検証結果</x:v>
      </x:c>
      <x:c r="D119" s="7" t="str">
        <x:v>https://www.city.suwa.lg.jp/uploaded/attachment/48577.pdf</x:v>
      </x:c>
      <x:c r="E119" s="7" t="str">
        <x:v>2025（R6事業検証）</x:v>
      </x:c>
      <x:c r="F119" s="7" t="str">
        <x:v>PDF p3–4：53,279,249円、予約抵抗、乗車人数未達・改善方針。検索キャッシュのみ、現URL404</x:v>
      </x:c>
      <x:c r="G119" s="18" t="n">
        <x:v>46326</x:v>
      </x:c>
    </x:row>
    <x:row r="120" ht="30" customHeight="1">
      <x:c r="A120" s="7" t="str">
        <x:v>S113</x:v>
      </x:c>
      <x:c r="B120" s="7" t="str">
        <x:v>SRC-5788470ae3</x:v>
      </x:c>
      <x:c r="C120" s="7" t="str">
        <x:v>R6デジタル田園都市国家構想交付金事業 効果検証結果</x:v>
      </x:c>
      <x:c r="D120" s="7" t="str">
        <x:v>https://www.city.suwa.lg.jp/uploaded/attachment/48592.pdf</x:v>
      </x:c>
      <x:c r="E120" s="7" t="str">
        <x:v>2025（R6検証）</x:v>
      </x:c>
      <x:c r="F120" s="7" t="str">
        <x:v>p1：KPI実績、外部検証/最終判断、53,279,249円、交付金R6のみ</x:v>
      </x:c>
      <x:c r="G120" s="18" t="n">
        <x:v>46326</x:v>
      </x:c>
    </x:row>
    <x:row r="121" ht="30" customHeight="1">
      <x:c r="A121" s="7" t="str">
        <x:v>S114</x:v>
      </x:c>
      <x:c r="B121" s="7" t="str">
        <x:v>SRC-eb055b1c2a</x:v>
      </x:c>
      <x:c r="C121" s="7" t="str">
        <x:v>広報すわ2026年1月号</x:v>
      </x:c>
      <x:c r="D121" s="7" t="str">
        <x:v>https://www.city.suwa.lg.jp/uploaded/attachment/49474.pdf</x:v>
      </x:c>
      <x:c r="E121" s="7" t="str">
        <x:v>2026-01</x:v>
      </x:c>
      <x:c r="F121" s="7" t="str">
        <x:v>p3：令和7年諏訪市のあゆみ、チョイソコかりんちゃん本格運行開始10月1日</x:v>
      </x:c>
      <x:c r="G121" s="18" t="n">
        <x:v>46326</x:v>
      </x:c>
    </x:row>
    <x:row r="122" ht="30" customHeight="1">
      <x:c r="A122" s="7" t="str">
        <x:v>S115</x:v>
      </x:c>
      <x:c r="B122" s="7" t="str">
        <x:v>SRC-9e1ea90bb0</x:v>
      </x:c>
      <x:c r="C122" s="7" t="str">
        <x:v>広報すわ2026年2月号</x:v>
      </x:c>
      <x:c r="D122" s="7" t="str">
        <x:v>https://www.city.suwa.lg.jp/uploaded/attachment/49677.pdf</x:v>
      </x:c>
      <x:c r="E122" s="7" t="str">
        <x:v>2026-02</x:v>
      </x:c>
      <x:c r="F122" s="7" t="str">
        <x:v>p7：既存バス再編、4月8日～2027-03-31土日祝日/平日増車テスト</x:v>
      </x:c>
      <x:c r="G122" s="18" t="n">
        <x:v>46326</x:v>
      </x:c>
    </x:row>
    <x:row r="123" ht="30" customHeight="1">
      <x:c r="A123" s="7" t="str">
        <x:v>S116</x:v>
      </x:c>
      <x:c r="B123" s="7" t="str">
        <x:v>SRC-9d31ef74ef</x:v>
      </x:c>
      <x:c r="C123" s="7" t="str">
        <x:v>令和8年度予算・第六次総合計画 重点目標の実現を目指して</x:v>
      </x:c>
      <x:c r="D123" s="7" t="str">
        <x:v>https://www.city.suwa.lg.jp/uploaded/life/79649_174466_misc.pdf</x:v>
      </x:c>
      <x:c r="E123" s="7" t="str">
        <x:v>2026</x:v>
      </x:c>
      <x:c r="F123" s="7" t="str">
        <x:v>AIオンデマンド交通運行事業：2025-10本格運行開始済、2026-04土日祝日運行/平日増車テスト</x:v>
      </x:c>
      <x:c r="G123" s="18" t="n">
        <x:v>46326</x:v>
      </x:c>
    </x:row>
    <x:row r="124" ht="30" customHeight="1">
      <x:c r="A124" s="7" t="str">
        <x:v>S117</x:v>
      </x:c>
      <x:c r="B124" s="7" t="str">
        <x:v>SRC-f6967212a7</x:v>
      </x:c>
      <x:c r="C124" s="7" t="str">
        <x:v>高松市長記者会見：データ利活用型スマートシティ</x:v>
      </x:c>
      <x:c r="D124" s="7" t="str">
        <x:v>https://www.city.takamatsu.kagawa.jp/kurashi/shichoushitsu/hatsugen/teirei/h29/290802.html</x:v>
      </x:c>
      <x:c r="E124" s="7" t="str">
        <x:v>2017-08-02</x:v>
      </x:c>
      <x:c r="F124" s="7" t="str">
        <x:v>総務省事業2017-07-25交付決定、交通等への順次展開は当時の計画</x:v>
      </x:c>
      <x:c r="G124" s="18" t="n">
        <x:v>46326</x:v>
      </x:c>
    </x:row>
    <x:row r="125" ht="30" customHeight="1">
      <x:c r="A125" s="7" t="str">
        <x:v>S118</x:v>
      </x:c>
      <x:c r="B125" s="7" t="str">
        <x:v>SRC-8276e606e9</x:v>
      </x:c>
      <x:c r="C125" s="7" t="str">
        <x:v>豊明市 チョイソコとよあけ</x:v>
      </x:c>
      <x:c r="D125" s="7" t="str">
        <x:v>https://www.city.toyoake.lg.jp/6461.htm</x:v>
      </x:c>
      <x:c r="E125" s="7" t="str"/>
      <x:c r="F125" s="7" t="str">
        <x:v>2018実証、2021本格化、スポンサーによる費用の一部支援、2025–2028委託</x:v>
      </x:c>
      <x:c r="G125" s="18" t="n">
        <x:v>46326</x:v>
      </x:c>
    </x:row>
    <x:row r="126" ht="30" customHeight="1">
      <x:c r="A126" s="7" t="str">
        <x:v>S119</x:v>
      </x:c>
      <x:c r="B126" s="7" t="str">
        <x:v>SRC-95c65a80b0</x:v>
      </x:c>
      <x:c r="C126" s="7" t="str">
        <x:v>豊明市 地域公共交通会議資料</x:v>
      </x:c>
      <x:c r="D126" s="7" t="str">
        <x:v>https://www.city.toyoake.lg.jp/secure/29408/250114kaigisiryou.pdf</x:v>
      </x:c>
      <x:c r="E126" s="7" t="str">
        <x:v>2025-01-14</x:v>
      </x:c>
      <x:c r="F126" s="7" t="str">
        <x:v>車両貸与、運行体制、平均乗合人数</x:v>
      </x:c>
      <x:c r="G126" s="18" t="n">
        <x:v>46326</x:v>
      </x:c>
    </x:row>
    <x:row r="127" ht="30" customHeight="1">
      <x:c r="A127" s="7" t="str">
        <x:v>S120</x:v>
      </x:c>
      <x:c r="B127" s="7" t="str">
        <x:v>SRC-6fdd2f91ae</x:v>
      </x:c>
      <x:c r="C127" s="7" t="str">
        <x:v>自動運転事業について</x:v>
      </x:c>
      <x:c r="D127" s="7" t="str">
        <x:v>https://www.city.wakkanai.hokkaido.jp/kurashi/kotsu/jidounten.html</x:v>
      </x:c>
      <x:c r="E127" s="7" t="str">
        <x:v>2026-10-07</x:v>
      </x:c>
      <x:c r="F127" s="7" t="str">
        <x:v>令和8年度から事業開始</x:v>
      </x:c>
      <x:c r="G127" s="18" t="n">
        <x:v>46326</x:v>
      </x:c>
    </x:row>
    <x:row r="128" ht="30" customHeight="1">
      <x:c r="A128" s="7" t="str">
        <x:v>S121</x:v>
      </x:c>
      <x:c r="B128" s="7" t="str">
        <x:v>SRC-ee08c116a0</x:v>
      </x:c>
      <x:c r="C128" s="7" t="str">
        <x:v>野洲市地域福祉関係会議資料</x:v>
      </x:c>
      <x:c r="D128" s="7" t="str">
        <x:v>https://www.city.yasu.lg.jp/material/files/group/68/shiryou2_20250806.pdf</x:v>
      </x:c>
      <x:c r="E128" s="7" t="str">
        <x:v>2025-08-06</x:v>
      </x:c>
      <x:c r="F128" s="7" t="str">
        <x:v>共同送迎：2023実証、2024/10正式運行、介護職員業務の変化</x:v>
      </x:c>
      <x:c r="G128" s="18" t="n">
        <x:v>46326</x:v>
      </x:c>
    </x:row>
    <x:row r="129" ht="30" customHeight="1">
      <x:c r="A129" s="7" t="str">
        <x:v>S122</x:v>
      </x:c>
      <x:c r="B129" s="7" t="str">
        <x:v>SRC-af58c7d8c3</x:v>
      </x:c>
      <x:c r="C129" s="7" t="str">
        <x:v>第3期南部地域社会実験運行について</x:v>
      </x:c>
      <x:c r="D129" s="7" t="str">
        <x:v>https://www.city.yatomi.lg.jp/_res/projects/default_project/_page_/001/005/389/R50401.pdf</x:v>
      </x:c>
      <x:c r="E129" s="7" t="str">
        <x:v>2024</x:v>
      </x:c>
      <x:c r="F129" s="7" t="str">
        <x:v>「チョイソコやとみの運行概要と結果」、企業調査pp.2・9。数値は公式索引、画像部分未視認</x:v>
      </x:c>
      <x:c r="G129" s="18" t="n">
        <x:v>46326</x:v>
      </x:c>
    </x:row>
    <x:row r="130" ht="40.400001525878906" customHeight="1">
      <x:c r="A130" s="7" t="str">
        <x:v>S123</x:v>
      </x:c>
      <x:c r="B130" s="7" t="str">
        <x:v>SRC-dc35151b94</x:v>
      </x:c>
      <x:c r="C130" s="7" t="str">
        <x:v>国土交通省関東運輸局 物流効率化等の取組</x:v>
      </x:c>
      <x:c r="D130" s="7" t="str">
        <x:v>https://www.city.yokohama.lg.jp/kurashi/machizukuri-kankyo/kotsu/toshikotsu/seisaku/kako/past.files/0150_20210203.pdf</x:v>
      </x:c>
      <x:c r="E130" s="7" t="str">
        <x:v>2017-03-30</x:v>
      </x:c>
      <x:c r="F130" s="7" t="str">
        <x:v>p10 宅配ロッカー実験2016-10～2018-03予定</x:v>
      </x:c>
      <x:c r="G130" s="18" t="n">
        <x:v>46326</x:v>
      </x:c>
    </x:row>
    <x:row r="131" ht="30" customHeight="1">
      <x:c r="A131" s="7" t="str">
        <x:v>S124</x:v>
      </x:c>
      <x:c r="B131" s="7" t="str">
        <x:v>SRC-e3d9f28a4b</x:v>
      </x:c>
      <x:c r="C131" s="7" t="str">
        <x:v>グリーンスローモビリティ ノルク</x:v>
      </x:c>
      <x:c r="D131" s="7" t="str">
        <x:v>https://www.city.yufu.oita.jp/newly/nolk-2</x:v>
      </x:c>
      <x:c r="E131" s="7" t="str">
        <x:v>2020-02-07</x:v>
      </x:c>
      <x:c r="F131" s="7" t="str">
        <x:v>導入時案内</x:v>
      </x:c>
      <x:c r="G131" s="18" t="n">
        <x:v>46326</x:v>
      </x:c>
    </x:row>
    <x:row r="132" ht="40.400001525878906" customHeight="1">
      <x:c r="A132" s="7" t="str">
        <x:v>S125</x:v>
      </x:c>
      <x:c r="B132" s="7" t="str">
        <x:v>SRC-052b9b1fa9</x:v>
      </x:c>
      <x:c r="C132" s="7" t="str">
        <x:v>由布市議会第4回定例会会議録</x:v>
      </x:c>
      <x:c r="D132" s="7" t="str">
        <x:v>https://www.city.yufu.oita.jp/uploads/files/2024/02/r5-12-7dai4kaiteireikaikaigiroku.pdf</x:v>
      </x:c>
      <x:c r="E132" s="7" t="str">
        <x:v>2023-12-07</x:v>
      </x:c>
      <x:c r="F132" s="7" t="str">
        <x:v>印刷頁206：2019～2021年度実証期の住民1割と収支を2023年に説明、車両買受予算
PDF p14／印刷p206：令和元～3年度実証について住民利用1割、令和4年度重点転換</x:v>
      </x:c>
      <x:c r="G132" s="18" t="n">
        <x:v>46326</x:v>
      </x:c>
    </x:row>
    <x:row r="133" ht="30" customHeight="1">
      <x:c r="A133" s="7" t="str">
        <x:v>S126</x:v>
      </x:c>
      <x:c r="B133" s="7" t="str">
        <x:v>SRC-e03de77c7c</x:v>
      </x:c>
      <x:c r="C133" s="7" t="str">
        <x:v>令和5年度由布市事務事業評価</x:v>
      </x:c>
      <x:c r="D133" s="7" t="str">
        <x:v>https://www.city.yufu.oita.jp/uploads/files/2024/10/r5zimuzigyouhyoukasyo.pdf</x:v>
      </x:c>
      <x:c r="E133" s="7" t="str">
        <x:v>2024-10</x:v>
      </x:c>
      <x:c r="F133" s="7" t="str">
        <x:v>p.13：B 見直して事業実施</x:v>
      </x:c>
      <x:c r="G133" s="18" t="n">
        <x:v>46326</x:v>
      </x:c>
    </x:row>
    <x:row r="134" ht="30" customHeight="1">
      <x:c r="A134" s="7" t="str">
        <x:v>S127</x:v>
      </x:c>
      <x:c r="B134" s="7" t="str">
        <x:v>SRC-20bc3a1de2</x:v>
      </x:c>
      <x:c r="C134" s="7" t="str">
        <x:v>横浜港本牧ふ頭におけるCONPAS試験運用</x:v>
      </x:c>
      <x:c r="D134" s="7" t="str">
        <x:v>https://www.cyber-port.net/ja/information/detail/218</x:v>
      </x:c>
      <x:c r="E134" s="7" t="str">
        <x:v>2025-11-18</x:v>
      </x:c>
      <x:c r="F134" s="7" t="str">
        <x:v>BC・D1・D4で試験、BC2の2日間予約必須</x:v>
      </x:c>
      <x:c r="G134" s="18" t="n">
        <x:v>46326</x:v>
      </x:c>
    </x:row>
    <x:row r="135" ht="30" customHeight="1">
      <x:c r="A135" s="7" t="str">
        <x:v>S128</x:v>
      </x:c>
      <x:c r="B135" s="7" t="str">
        <x:v>SRC-919bf820f3</x:v>
      </x:c>
      <x:c r="C135" s="7" t="str">
        <x:v>ゴイッショみとよ</x:v>
      </x:c>
      <x:c r="D135" s="7" t="str">
        <x:v>https://www.daihatsu.co.jp/goissho/oshirase/d8f2f70000000151.htm</x:v>
      </x:c>
      <x:c r="E135" s="7" t="str"/>
      <x:c r="F135" s="7" t="str">
        <x:v>2025/4 MiLAIS移管、2026放課後等デイサービス追加。2026/10/31確認</x:v>
      </x:c>
      <x:c r="G135" s="18" t="n">
        <x:v>46326</x:v>
      </x:c>
    </x:row>
    <x:row r="136" ht="40.400001525878906" customHeight="1">
      <x:c r="A136" s="7" t="str">
        <x:v>S129</x:v>
      </x:c>
      <x:c r="B136" s="7" t="str">
        <x:v>SRC-d458f87443</x:v>
      </x:c>
      <x:c r="C136" s="7" t="str">
        <x:v>モビリティ・ロードマップ2026</x:v>
      </x:c>
      <x:c r="D136" s="7" t="str">
        <x:v>https://www.digital.go.jp/assets/contents/node/basic_page/field_ref_resources/2415ad00-6a79-4ebc-8fb1-51a47b1b0552/11045673/20260721_meeting_mobility_01.pdf</x:v>
      </x:c>
      <x:c r="E136" s="7" t="str">
        <x:v>2026-07-21</x:v>
      </x:c>
      <x:c r="F136" s="7" t="str">
        <x:v>本文p11–12（需要・費用）、p17–23（交通商社・先行地域）；ローカルPDF取得・pdftotext確認</x:v>
      </x:c>
      <x:c r="G136" s="18" t="n">
        <x:v>46326</x:v>
      </x:c>
    </x:row>
    <x:row r="137" ht="40.400001525878906" customHeight="1">
      <x:c r="A137" s="7" t="str">
        <x:v>S130</x:v>
      </x:c>
      <x:c r="B137" s="7" t="str">
        <x:v>SRC-ec89da6096</x:v>
      </x:c>
      <x:c r="C137" s="7" t="str">
        <x:v>モビリティ・ロードマップ2024概要</x:v>
      </x:c>
      <x:c r="D137" s="7" t="str">
        <x:v>https://www.digital.go.jp/assets/contents/node/basic_page/field_ref_resources/2415ad00-6a79-4ebc-8fb1-51a47b1b0552/12f4e4f4/20240621_mobility-working-group_summary_01.pdf</x:v>
      </x:c>
      <x:c r="E137" s="7" t="str">
        <x:v>2024-06-21</x:v>
      </x:c>
      <x:c r="F137" s="7" t="str">
        <x:v>5頁の概要・工程表</x:v>
      </x:c>
      <x:c r="G137" s="18" t="n">
        <x:v>46326</x:v>
      </x:c>
    </x:row>
    <x:row r="138" ht="40.400001525878906" customHeight="1">
      <x:c r="A138" s="7" t="str">
        <x:v>S131</x:v>
      </x:c>
      <x:c r="B138" s="7" t="str">
        <x:v>SRC-f6cb688da7</x:v>
      </x:c>
      <x:c r="C138" s="7" t="str">
        <x:v>モビリティ・ロードマップ2026概要</x:v>
      </x:c>
      <x:c r="D138" s="7" t="str">
        <x:v>https://www.digital.go.jp/assets/contents/node/basic_page/field_ref_resources/2415ad00-6a79-4ebc-8fb1-51a47b1b0552/9efd41a7/20260721_meeting_mobility_02.pdf</x:v>
      </x:c>
      <x:c r="E138" s="7" t="str">
        <x:v>2026-07-21</x:v>
      </x:c>
      <x:c r="F138" s="7" t="str">
        <x:v>PDF p2：2030年度1万台、2030年代世界販売シェア約25%の目標、課題、役割分担</x:v>
      </x:c>
      <x:c r="G138" s="18" t="n">
        <x:v>46326</x:v>
      </x:c>
    </x:row>
    <x:row r="139" ht="40.400001525878906" customHeight="1">
      <x:c r="A139" s="7" t="str">
        <x:v>S132</x:v>
      </x:c>
      <x:c r="B139" s="7" t="str">
        <x:v>SRC-58d6252d1d</x:v>
      </x:c>
      <x:c r="C139" s="7" t="str">
        <x:v>モビリティ・ロードマップ2025</x:v>
      </x:c>
      <x:c r="D139" s="7" t="str">
        <x:v>https://www.digital.go.jp/assets/contents/node/basic_page/field_ref_resources/2415ad00-6a79-4ebc-8fb1-51a47b1b0552/b1e4eee0/20250613_resources_mobility_policy_01.pdf</x:v>
      </x:c>
      <x:c r="E139" s="7" t="str">
        <x:v>2025-06-13</x:v>
      </x:c>
      <x:c r="F139" s="7" t="str">
        <x:v>交通商社機能・先行的事業化地域；KPIは目標として区別</x:v>
      </x:c>
      <x:c r="G139" s="18" t="n">
        <x:v>46326</x:v>
      </x:c>
    </x:row>
    <x:row r="140" ht="54.599998474121094" customHeight="1">
      <x:c r="A140" s="7" t="str">
        <x:v>S133</x:v>
      </x:c>
      <x:c r="B140" s="7" t="str">
        <x:v>SRC-9622d84fa1</x:v>
      </x:c>
      <x:c r="C140" s="7" t="str">
        <x:v>令和7年度エリアデータ連携基盤推奨モジュール管理・自治体運用支援 最終報告書</x:v>
      </x:c>
      <x:c r="D140" s="7" t="str">
        <x:v>https://www.digital.go.jp/assets/contents/node/basic_page/field_ref_resources/82a1ea56-128f-4cf6-bbd5-9ef6d4b7bafc/fbcd8e86/20260413_policies_budget_entrustment_deliverables_report_outline_01.pdf</x:v>
      </x:c>
      <x:c r="E140" s="7" t="str">
        <x:v>2026-04-13</x:v>
      </x:c>
      <x:c r="F140" s="7" t="str">
        <x:v>運用支援・非パーソナル基盤の約7割がFIWARE Orion（対象母集団要注意）</x:v>
      </x:c>
      <x:c r="G140" s="18" t="n">
        <x:v>46326</x:v>
      </x:c>
    </x:row>
    <x:row r="141" ht="54.599998474121094" customHeight="1">
      <x:c r="A141" s="7" t="str">
        <x:v>S134</x:v>
      </x:c>
      <x:c r="B141" s="7" t="str">
        <x:v>SRC-9ab498aac5</x:v>
      </x:c>
      <x:c r="C141" s="7" t="str">
        <x:v>エリアデータ連携基盤共同利用ガイドブック第2版</x:v>
      </x:c>
      <x:c r="D141" s="7" t="str">
        <x:v>https://www.digital.go.jp/assets/contents/node/basic_page/field_ref_resources/84c08375-e8c4-440f-8ef4-521a4a36ed9f/a87ac6b5/20250901_policies_digital-garden-city-nation_guideline-of-area-data-coordination-platform_02.pdf</x:v>
      </x:c>
      <x:c r="E141" s="7" t="str">
        <x:v>2025-09-01</x:v>
      </x:c>
      <x:c r="F141" s="7" t="str">
        <x:v>共同利用・運営組織・個人認証・データ分離</x:v>
      </x:c>
      <x:c r="G141" s="18" t="n">
        <x:v>46326</x:v>
      </x:c>
    </x:row>
    <x:row r="142" ht="40.400001525878906" customHeight="1">
      <x:c r="A142" s="7" t="str">
        <x:v>S135</x:v>
      </x:c>
      <x:c r="B142" s="7" t="str">
        <x:v>SRC-7f8e9cdf06</x:v>
      </x:c>
      <x:c r="C142" s="7" t="str">
        <x:v>先行的事業化地域事業FAQ</x:v>
      </x:c>
      <x:c r="D142" s="7" t="str">
        <x:v>https://www.digital.go.jp/assets/contents/node/basic_page/field_ref_resources/a71c2b0b-0506-43de-b7f8-2cb20172752a/c2d27e05/20260113_policies_mobility_r7earlyareas_06.pdf</x:v>
      </x:c>
      <x:c r="E142" s="7" t="str">
        <x:v>2026-01-13</x:v>
      </x:c>
      <x:c r="F142" s="7" t="str">
        <x:v>選定は関係施策の優先実施・審査加点。各補助金の採択保証と区別</x:v>
      </x:c>
      <x:c r="G142" s="18" t="n">
        <x:v>46326</x:v>
      </x:c>
    </x:row>
    <x:row r="143" ht="30" customHeight="1">
      <x:c r="A143" s="7" t="str">
        <x:v>S136</x:v>
      </x:c>
      <x:c r="B143" s="7" t="str">
        <x:v>SRC-15606c8ca9</x:v>
      </x:c>
      <x:c r="C143" s="7" t="str">
        <x:v>モビリティワーキンググループ</x:v>
      </x:c>
      <x:c r="D143" s="7" t="str">
        <x:v>https://www.digital.go.jp/councils/mobility-working-group</x:v>
      </x:c>
      <x:c r="E143" s="7" t="str">
        <x:v>2026-07-21</x:v>
      </x:c>
      <x:c r="F143" s="7" t="str">
        <x:v>会議一覧（第1回2023-12-05）・ロードマップ2024/2025/2026</x:v>
      </x:c>
      <x:c r="G143" s="18" t="n">
        <x:v>46326</x:v>
      </x:c>
    </x:row>
    <x:row r="144" ht="30" customHeight="1">
      <x:c r="A144" s="7" t="str">
        <x:v>S137</x:v>
      </x:c>
      <x:c r="B144" s="7" t="str">
        <x:v>SRC-98f2bec305</x:v>
      </x:c>
      <x:c r="C144" s="7" t="str">
        <x:v>デジタル庁モビリティWG第7回</x:v>
      </x:c>
      <x:c r="D144" s="7" t="str">
        <x:v>https://www.digital.go.jp/councils/mobility-working-group/6936350f-a070-42d7-8ab1-3bbd9471bba8</x:v>
      </x:c>
      <x:c r="E144" s="7" t="str">
        <x:v>2025-01-28</x:v>
      </x:c>
      <x:c r="F144" s="7" t="str">
        <x:v>議事概要：事業モデル・保守・価格・1対多の将来費用仮説</x:v>
      </x:c>
      <x:c r="G144" s="18" t="n">
        <x:v>46326</x:v>
      </x:c>
    </x:row>
    <x:row r="145" ht="30" customHeight="1">
      <x:c r="A145" s="7" t="str">
        <x:v>S138</x:v>
      </x:c>
      <x:c r="B145" s="7" t="str">
        <x:v>SRC-a2849c4e36</x:v>
      </x:c>
      <x:c r="C145" s="7" t="str">
        <x:v>デジタル庁発足式を行いました</x:v>
      </x:c>
      <x:c r="D145" s="7" t="str">
        <x:v>https://www.digital.go.jp/news/uWAA9Dcp</x:v>
      </x:c>
      <x:c r="E145" s="7" t="str">
        <x:v>2021-09-01</x:v>
      </x:c>
      <x:c r="F145" s="7" t="str">
        <x:v>本文：2021年9月1日発足</x:v>
      </x:c>
      <x:c r="G145" s="18" t="n">
        <x:v>46326</x:v>
      </x:c>
    </x:row>
    <x:row r="146" ht="30" customHeight="1">
      <x:c r="A146" s="7" t="str">
        <x:v>S139</x:v>
      </x:c>
      <x:c r="B146" s="7" t="str">
        <x:v>SRC-56d3235213</x:v>
      </x:c>
      <x:c r="C146" s="7" t="str">
        <x:v>デジタル田園都市国家構想</x:v>
      </x:c>
      <x:c r="D146" s="7" t="str">
        <x:v>https://www.digital.go.jp/policies/digital_garden_city_nation</x:v>
      </x:c>
      <x:c r="E146" s="7" t="str">
        <x:v>2026-08-03</x:v>
      </x:c>
      <x:c r="F146" s="7" t="str">
        <x:v>2024-10-11本部改組、2025-11-11地域未来戦略本部設置</x:v>
      </x:c>
      <x:c r="G146" s="18" t="n">
        <x:v>46326</x:v>
      </x:c>
    </x:row>
    <x:row r="147" ht="30" customHeight="1">
      <x:c r="A147" s="7" t="str">
        <x:v>S140</x:v>
      </x:c>
      <x:c r="B147" s="7" t="str">
        <x:v>SRC-81596a932d</x:v>
      </x:c>
      <x:c r="C147" s="7" t="str">
        <x:v>エリアデータ連携基盤</x:v>
      </x:c>
      <x:c r="D147" s="7" t="str">
        <x:v>https://www.digital.go.jp/policies/digital_garden_city_nation/area-data-coordination-platform</x:v>
      </x:c>
      <x:c r="E147" s="7" t="str">
        <x:v>2026-10-31閲覧</x:v>
      </x:c>
      <x:c r="F147" s="7" t="str">
        <x:v>推奨モジュール・共同利用ガイド・導入支援</x:v>
      </x:c>
      <x:c r="G147" s="18" t="n">
        <x:v>46326</x:v>
      </x:c>
    </x:row>
    <x:row r="148" ht="30" customHeight="1">
      <x:c r="A148" s="7" t="str">
        <x:v>S141</x:v>
      </x:c>
      <x:c r="B148" s="7" t="str">
        <x:v>SRC-af66eca641</x:v>
      </x:c>
      <x:c r="C148" s="7" t="str">
        <x:v>モビリティ／デジタルを活用した交通社会の未来2022</x:v>
      </x:c>
      <x:c r="D148" s="7" t="str">
        <x:v>https://www.digital.go.jp/policies/mobility</x:v>
      </x:c>
      <x:c r="E148" s="7" t="str">
        <x:v>2022-08-02／ページ更新2026-06-19</x:v>
      </x:c>
      <x:c r="F148" s="7" t="str">
        <x:v>最近の取組：2022-08-01決定、官民ITSロードマップの継承；アーキテクチャ検討2022-09-27</x:v>
      </x:c>
      <x:c r="G148" s="18" t="n">
        <x:v>46326</x:v>
      </x:c>
    </x:row>
    <x:row r="149" ht="30" customHeight="1">
      <x:c r="A149" s="7" t="str">
        <x:v>S142</x:v>
      </x:c>
      <x:c r="B149" s="7" t="str">
        <x:v>SRC-91022ef486</x:v>
      </x:c>
      <x:c r="C149" s="7" t="str">
        <x:v>令和7年度自動運転社会実装先行的事業化地域事業 選定結果</x:v>
      </x:c>
      <x:c r="D149" s="7" t="str">
        <x:v>https://www.digital.go.jp/policies/mobility/a71c2b0b-0506-43de-b7f8-2cb20172752a</x:v>
      </x:c>
      <x:c r="E149" s="7" t="str">
        <x:v>2026-03-06</x:v>
      </x:c>
      <x:c r="F149" s="7" t="str">
        <x:v>概要、公募期間、選定結果の13地域</x:v>
      </x:c>
      <x:c r="G149" s="18" t="n">
        <x:v>46326</x:v>
      </x:c>
    </x:row>
    <x:row r="150" ht="30" customHeight="1">
      <x:c r="A150" s="7" t="str">
        <x:v>S143</x:v>
      </x:c>
      <x:c r="B150" s="7" t="str">
        <x:v>SRC-007f173d67</x:v>
      </x:c>
      <x:c r="C150" s="7" t="str">
        <x:v>自動車産業の競争力強化と電動化</x:v>
      </x:c>
      <x:c r="D150" s="7" t="str">
        <x:v>https://www.enecho.meti.go.jp/about/special/johoteikyo/automobile_industry_policy_02.html</x:v>
      </x:c>
      <x:c r="E150" s="7" t="str">
        <x:v>2026-05</x:v>
      </x:c>
      <x:c r="F150" s="7" t="str">
        <x:v>CEV評価、2026見直し、FY2025補正1,100億円</x:v>
      </x:c>
      <x:c r="G150" s="18" t="n">
        <x:v>46326</x:v>
      </x:c>
    </x:row>
    <x:row r="151" ht="30" customHeight="1">
      <x:c r="A151" s="7" t="str">
        <x:v>S144</x:v>
      </x:c>
      <x:c r="B151" s="7" t="str">
        <x:v>SRC-85eede1bce</x:v>
      </x:c>
      <x:c r="C151" s="7" t="str">
        <x:v>環境大臣記者会見</x:v>
      </x:c>
      <x:c r="D151" s="7" t="str">
        <x:v>https://www.env.go.jp/annai/kaiken/r2/0626.html</x:v>
      </x:c>
      <x:c r="E151" s="7" t="str">
        <x:v>2020-06-26</x:v>
      </x:c>
      <x:c r="F151" s="7" t="str">
        <x:v>小田原EVシェア2020年6月1日開始</x:v>
      </x:c>
      <x:c r="G151" s="18" t="n">
        <x:v>46326</x:v>
      </x:c>
    </x:row>
    <x:row r="152" ht="30" customHeight="1">
      <x:c r="A152" s="7" t="str">
        <x:v>S145</x:v>
      </x:c>
      <x:c r="B152" s="7" t="str">
        <x:v>SRC-4b469435ff</x:v>
      </x:c>
      <x:c r="C152" s="7" t="str">
        <x:v>脱炭素先行地域づくりガイドブック</x:v>
      </x:c>
      <x:c r="D152" s="7" t="str">
        <x:v>https://www.env.go.jp/content/000099395.pdf</x:v>
      </x:c>
      <x:c r="E152" s="7" t="str"/>
      <x:c r="F152" s="7" t="str">
        <x:v>民生部門電力・地域特性に応じた運輸部門等の削減</x:v>
      </x:c>
      <x:c r="G152" s="18" t="n">
        <x:v>46326</x:v>
      </x:c>
    </x:row>
    <x:row r="153" ht="40.400001525878906" customHeight="1">
      <x:c r="A153" s="7" t="str">
        <x:v>S146</x:v>
      </x:c>
      <x:c r="B153" s="7" t="str">
        <x:v>SRC-34d5e30cc6</x:v>
      </x:c>
      <x:c r="C153" s="7" t="str">
        <x:v>IoTを活用したグリーンスローモビリティの効果的運用実証 事例集</x:v>
      </x:c>
      <x:c r="D153" s="7" t="str">
        <x:v>https://www.env.go.jp/content/000126068.pdf</x:v>
      </x:c>
      <x:c r="E153" s="7" t="str"/>
      <x:c r="F153" s="7" t="str">
        <x:v>各地域2ページ。2019～2021年度の実証
2019年度から2021年度の実証事例集</x:v>
      </x:c>
      <x:c r="G153" s="18" t="n">
        <x:v>46326</x:v>
      </x:c>
    </x:row>
    <x:row r="154" ht="30" customHeight="1">
      <x:c r="A154" s="7" t="str">
        <x:v>S147</x:v>
      </x:c>
      <x:c r="B154" s="7" t="str">
        <x:v>SRC-d1c42a88c8</x:v>
      </x:c>
      <x:c r="C154" s="7" t="str">
        <x:v>中山間地域における電動マイクロバスの評価検証</x:v>
      </x:c>
      <x:c r="D154" s="7" t="str">
        <x:v>https://www.env.go.jp/content/000254037.pdf</x:v>
      </x:c>
      <x:c r="E154" s="7" t="str">
        <x:v>2024年（2021～2023年度成果）</x:v>
      </x:c>
      <x:c r="F154" s="7" t="str">
        <x:v>pp.8–9 球磨村スクールバス・太陽光・費用CO2試算</x:v>
      </x:c>
      <x:c r="G154" s="18" t="n">
        <x:v>46326</x:v>
      </x:c>
    </x:row>
    <x:row r="155" ht="30" customHeight="1">
      <x:c r="A155" s="7" t="str">
        <x:v>S148</x:v>
      </x:c>
      <x:c r="B155" s="7" t="str">
        <x:v>SRC-e6fbbaf5f1</x:v>
      </x:c>
      <x:c r="C155" s="7" t="str">
        <x:v>地域の公共交通×脱炭素化移行促進事業</x:v>
      </x:c>
      <x:c r="D155" s="7" t="str">
        <x:v>https://www.env.go.jp/content/000303692.pdf</x:v>
      </x:c>
      <x:c r="E155" s="7" t="str">
        <x:v>2025年度予算資料</x:v>
      </x:c>
      <x:c r="F155" s="7" t="str">
        <x:v>予算額・対象事業</x:v>
      </x:c>
      <x:c r="G155" s="18" t="n">
        <x:v>46326</x:v>
      </x:c>
    </x:row>
    <x:row r="156" ht="40.400001525878906" customHeight="1">
      <x:c r="A156" s="7" t="str">
        <x:v>S149</x:v>
      </x:c>
      <x:c r="B156" s="7" t="str">
        <x:v>SRC-194d232a22</x:v>
      </x:c>
      <x:c r="C156" s="7" t="str">
        <x:v>商用車等の電動化促進事業</x:v>
      </x:c>
      <x:c r="D156" s="7" t="str">
        <x:v>https://www.env.go.jp/content/000356399.pdf</x:v>
      </x:c>
      <x:c r="E156" s="7" t="str">
        <x:v>2025年度補正</x:v>
      </x:c>
      <x:c r="F156" s="7" t="str">
        <x:v>予算300億円、国庫債務負担行為等
制度経過と商用車等の支援対象</x:v>
      </x:c>
      <x:c r="G156" s="18" t="n">
        <x:v>46326</x:v>
      </x:c>
    </x:row>
    <x:row r="157" ht="30" customHeight="1">
      <x:c r="A157" s="7" t="str">
        <x:v>S150</x:v>
      </x:c>
      <x:c r="B157" s="7" t="str">
        <x:v>SRC-727e544f4c</x:v>
      </x:c>
      <x:c r="C157" s="7" t="str">
        <x:v>再エネ×電動車の同時導入による脱炭素型カーシェア・防災拠点化促進事業</x:v>
      </x:c>
      <x:c r="D157" s="7" t="str">
        <x:v>https://www.env.go.jp/content/900441906.pdf</x:v>
      </x:c>
      <x:c r="E157" s="7" t="str">
        <x:v>2021年度補正</x:v>
      </x:c>
      <x:c r="F157" s="7" t="str">
        <x:v>予算10億円</x:v>
      </x:c>
      <x:c r="G157" s="18" t="n">
        <x:v>46326</x:v>
      </x:c>
    </x:row>
    <x:row r="158" ht="30" customHeight="1">
      <x:c r="A158" s="7" t="str">
        <x:v>S151</x:v>
      </x:c>
      <x:c r="B158" s="7" t="str">
        <x:v>SRC-81bb6b746e</x:v>
      </x:c>
      <x:c r="C158" s="7" t="str">
        <x:v>公共交通機関の低炭素化と利用促進に向けた設備整備事業</x:v>
      </x:c>
      <x:c r="D158" s="7" t="str">
        <x:v>https://www.env.go.jp/content/900442061.pdf</x:v>
      </x:c>
      <x:c r="E158" s="7" t="str">
        <x:v>2018年度予算資料</x:v>
      </x:c>
      <x:c r="F158" s="7" t="str">
        <x:v>事業概要・期間・補助率</x:v>
      </x:c>
      <x:c r="G158" s="18" t="n">
        <x:v>46326</x:v>
      </x:c>
    </x:row>
    <x:row r="159" ht="30" customHeight="1">
      <x:c r="A159" s="7" t="str">
        <x:v>S152</x:v>
      </x:c>
      <x:c r="B159" s="7" t="str">
        <x:v>SRC-b6855910f0</x:v>
      </x:c>
      <x:c r="C159" s="7" t="str">
        <x:v>再エネ×電動車同時導入事業要件</x:v>
      </x:c>
      <x:c r="D159" s="7" t="str">
        <x:v>https://www.env.go.jp/content/900502155.pdf</x:v>
      </x:c>
      <x:c r="E159" s="7" t="str">
        <x:v>2022年度</x:v>
      </x:c>
      <x:c r="F159" s="7" t="str">
        <x:v>公用・社用車の通常時カーシェア、車両2台以上等</x:v>
      </x:c>
      <x:c r="G159" s="18" t="n">
        <x:v>46326</x:v>
      </x:c>
    </x:row>
    <x:row r="160" ht="40.400001525878906" customHeight="1">
      <x:c r="A160" s="7" t="str">
        <x:v>S153</x:v>
      </x:c>
      <x:c r="B160" s="7" t="str">
        <x:v>SRC-008ea08a9d</x:v>
      </x:c>
      <x:c r="C160" s="7" t="str">
        <x:v>令和6年度エネ特ポータル</x:v>
      </x:c>
      <x:c r="D160" s="7" t="str">
        <x:v>https://www.env.go.jp/earth/earth/ondanka/enetoku/2024/?word=%E3%82%BC%E3%83%AD%E3%82%AB%E3%83%BC%E3%83%9C%E3%83%B3%E3%82%B7%E3%83%86%E3%82%A3</x:v>
      </x:c>
      <x:c r="E160" s="7" t="str">
        <x:v>2024年度</x:v>
      </x:c>
      <x:c r="F160" s="7" t="str">
        <x:v>電池交換式EV事業593百万円、最終年度継続のみ等
2020年度から2024年度の事業期間 継続のみ</x:v>
      </x:c>
      <x:c r="G160" s="18" t="n">
        <x:v>46326</x:v>
      </x:c>
    </x:row>
    <x:row r="161" ht="40.400001525878906" customHeight="1">
      <x:c r="A161" s="7" t="str">
        <x:v>S154</x:v>
      </x:c>
      <x:c r="B161" s="7" t="str">
        <x:v>SRC-675ff070ab</x:v>
      </x:c>
      <x:c r="C161" s="7" t="str">
        <x:v>令和8年度予算及び令和7年度補正予算 エネ特ポータル</x:v>
      </x:c>
      <x:c r="D161" s="7" t="str">
        <x:v>https://www.env.go.jp/earth/earth/ondanka/enetoku/2026/?word=%E3%83%AC%E3%82%B8%E3%83%AA%E3%82%A8%E3%83%B3%E3%82%B9</x:v>
      </x:c>
      <x:c r="E161" s="7" t="str">
        <x:v>2026年度</x:v>
      </x:c>
      <x:c r="F161" s="7" t="str">
        <x:v>地域の公共交通×脱炭素化移行促進事業／商用車</x:v>
      </x:c>
      <x:c r="G161" s="18" t="n">
        <x:v>46326</x:v>
      </x:c>
    </x:row>
    <x:row r="162" ht="40.400001525878906" customHeight="1">
      <x:c r="A162" s="7" t="str">
        <x:v>S155</x:v>
      </x:c>
      <x:c r="B162" s="7" t="str">
        <x:v>SRC-04fb8f7ad1</x:v>
      </x:c>
      <x:c r="C162" s="7" t="str">
        <x:v>令和8年度エネルギー対策特別会計事業概要</x:v>
      </x:c>
      <x:c r="D162" s="7" t="str">
        <x:v>https://www.env.go.jp/earth/earth/ondanka/enetoku/pamphlet/pdf/2026/enetoku_jigyo_gaiyo_2026-R8.pdf</x:v>
      </x:c>
      <x:c r="E162" s="7" t="str">
        <x:v>2026年度</x:v>
      </x:c>
      <x:c r="F162" s="7" t="str">
        <x:v>運輸部門等の先進的システム社会実装促進1415百万円
2024年度から2028年度等の制度期間</x:v>
      </x:c>
      <x:c r="G162" s="18" t="n">
        <x:v>46326</x:v>
      </x:c>
    </x:row>
    <x:row r="163" ht="30" customHeight="1">
      <x:c r="A163" s="7" t="str">
        <x:v>S156</x:v>
      </x:c>
      <x:c r="B163" s="7" t="str">
        <x:v>SRC-858cecb7d2</x:v>
      </x:c>
      <x:c r="C163" s="7" t="str">
        <x:v>環境省 グリーンスローモビリティ</x:v>
      </x:c>
      <x:c r="D163" s="7" t="str">
        <x:v>https://www.env.go.jp/earth/earth/ondanka/green_slow_mobility/index.html</x:v>
      </x:c>
      <x:c r="E163" s="7" t="str"/>
      <x:c r="F163" s="7" t="str">
        <x:v>定義・各実証資料</x:v>
      </x:c>
      <x:c r="G163" s="18" t="n">
        <x:v>46326</x:v>
      </x:c>
    </x:row>
    <x:row r="164" ht="30" customHeight="1">
      <x:c r="A164" s="7" t="str">
        <x:v>S157</x:v>
      </x:c>
      <x:c r="B164" s="7" t="str">
        <x:v>SRC-052833d4c2</x:v>
      </x:c>
      <x:c r="C164" s="7" t="str">
        <x:v>CO2排出削減対策強化誘導型技術開発・実証事業データベース</x:v>
      </x:c>
      <x:c r="D164" s="7" t="str">
        <x:v>https://www.env.go.jp/earth/ondanka/cpttv_funds/db/</x:v>
      </x:c>
      <x:c r="E164" s="7" t="str"/>
      <x:c r="F164" s="7" t="str">
        <x:v>個別終了評価</x:v>
      </x:c>
      <x:c r="G164" s="18" t="n">
        <x:v>46326</x:v>
      </x:c>
    </x:row>
    <x:row r="165" ht="40.400001525878906" customHeight="1">
      <x:c r="A165" s="7" t="str">
        <x:v>S158</x:v>
      </x:c>
      <x:c r="B165" s="7" t="str">
        <x:v>SRC-b7e7392af8</x:v>
      </x:c>
      <x:c r="C165" s="7" t="str">
        <x:v>電動バス普及拡大に繋がる電車回生電力を活用した超急速充電交通インフラの開発・実証 終了評価</x:v>
      </x:c>
      <x:c r="D165" s="7" t="str">
        <x:v>https://www.env.go.jp/earth/ondanka/cpttv_funds/pdf/db/222.pdf</x:v>
      </x:c>
      <x:c r="E165" s="7" t="str"/>
      <x:c r="F165" s="7" t="str">
        <x:v>pp.1–4。PDFメタデータの表題は本文と不一致</x:v>
      </x:c>
      <x:c r="G165" s="18" t="n">
        <x:v>46326</x:v>
      </x:c>
    </x:row>
    <x:row r="166" ht="30" customHeight="1">
      <x:c r="A166" s="7" t="str">
        <x:v>S159</x:v>
      </x:c>
      <x:c r="B166" s="7" t="str">
        <x:v>SRC-735258b810</x:v>
      </x:c>
      <x:c r="C166" s="7" t="str">
        <x:v>令和4年度気候変動アクション環境大臣表彰 徳島バス</x:v>
      </x:c>
      <x:c r="D166" s="7" t="str">
        <x:v>https://www.env.go.jp/earth/ondanka/min_action_award/files/winners_r04_13.pdf</x:v>
      </x:c>
      <x:c r="E166" s="7" t="str">
        <x:v>2022年</x:v>
      </x:c>
      <x:c r="F166" s="7" t="str">
        <x:v>7か月48t、年82tは予測</x:v>
      </x:c>
      <x:c r="G166" s="18" t="n">
        <x:v>46326</x:v>
      </x:c>
    </x:row>
    <x:row r="167" ht="30" customHeight="1">
      <x:c r="A167" s="7" t="str">
        <x:v>S160</x:v>
      </x:c>
      <x:c r="B167" s="7" t="str">
        <x:v>SRC-0bd9935111</x:v>
      </x:c>
      <x:c r="C167" s="7" t="str">
        <x:v>令和3年版環境白書 脱炭素社会への転換</x:v>
      </x:c>
      <x:c r="D167" s="7" t="str">
        <x:v>https://www.env.go.jp/policy/hakusyo/r03/html/hj21010201.html</x:v>
      </x:c>
      <x:c r="E167" s="7" t="str">
        <x:v>2021年</x:v>
      </x:c>
      <x:c r="F167" s="7" t="str">
        <x:v>2020年度電池交換式郵便二輪2000台支援</x:v>
      </x:c>
      <x:c r="G167" s="18" t="n">
        <x:v>46326</x:v>
      </x:c>
    </x:row>
    <x:row r="168" ht="30" customHeight="1">
      <x:c r="A168" s="7" t="str">
        <x:v>S161</x:v>
      </x:c>
      <x:c r="B168" s="7" t="str">
        <x:v>SRC-0638f0fbc7</x:v>
      </x:c>
      <x:c r="C168" s="7" t="str">
        <x:v>しかおい水素ファームの開所</x:v>
      </x:c>
      <x:c r="D168" s="7" t="str">
        <x:v>https://www.env.go.jp/press/103519.html</x:v>
      </x:c>
      <x:c r="E168" s="7" t="str">
        <x:v>2017-01</x:v>
      </x:c>
      <x:c r="F168" s="7" t="str">
        <x:v>2017年1月24日開所</x:v>
      </x:c>
      <x:c r="G168" s="18" t="n">
        <x:v>46326</x:v>
      </x:c>
    </x:row>
    <x:row r="169" ht="40.400001525878906" customHeight="1">
      <x:c r="A169" s="7" t="str">
        <x:v>S162</x:v>
      </x:c>
      <x:c r="B169" s="7" t="str">
        <x:v>SRC-cad9c8908f</x:v>
      </x:c>
      <x:c r="C169" s="7" t="str">
        <x:v>脱炭素イノベーションによる地域循環共生圏構築事業 採択結果</x:v>
      </x:c>
      <x:c r="D169" s="7" t="str">
        <x:v>https://www.env.go.jp/press/108692.html</x:v>
      </x:c>
      <x:c r="E169" s="7" t="str">
        <x:v>2020-11-27</x:v>
      </x:c>
      <x:c r="F169" s="7" t="str">
        <x:v>CASE活用・地域エネルギー
CASE活用と地域エネルギーの採択</x:v>
      </x:c>
      <x:c r="G169" s="18" t="n">
        <x:v>46326</x:v>
      </x:c>
    </x:row>
    <x:row r="170" ht="30" customHeight="1">
      <x:c r="A170" s="7" t="str">
        <x:v>S163</x:v>
      </x:c>
      <x:c r="B170" s="7" t="str">
        <x:v>SRC-5c578ad767</x:v>
      </x:c>
      <x:c r="C170" s="7" t="str">
        <x:v>脱炭素イノベーションによる地域循環共生圏構築事業 採択結果</x:v>
      </x:c>
      <x:c r="D170" s="7" t="str">
        <x:v>https://www.env.go.jp/press/109781.html</x:v>
      </x:c>
      <x:c r="E170" s="7" t="str">
        <x:v>2021年</x:v>
      </x:c>
      <x:c r="F170" s="7" t="str">
        <x:v>日光の共同申請者・採択</x:v>
      </x:c>
      <x:c r="G170" s="18" t="n">
        <x:v>46326</x:v>
      </x:c>
    </x:row>
    <x:row r="171" ht="40.400001525878906" customHeight="1">
      <x:c r="A171" s="7" t="str">
        <x:v>S164</x:v>
      </x:c>
      <x:c r="B171" s="7" t="str">
        <x:v>SRC-7392e4491e</x:v>
      </x:c>
      <x:c r="C171" s="7" t="str">
        <x:v>再エネ×電動車の同時導入による脱炭素型カーシェア・防災拠点化促進事業 公募</x:v>
      </x:c>
      <x:c r="D171" s="7" t="str">
        <x:v>https://www.env.go.jp/press/110740.html</x:v>
      </x:c>
      <x:c r="E171" s="7" t="str">
        <x:v>2022-03-25</x:v>
      </x:c>
      <x:c r="F171" s="7" t="str">
        <x:v>公募開始
2021年度補正事業の公募</x:v>
      </x:c>
      <x:c r="G171" s="18" t="n">
        <x:v>46326</x:v>
      </x:c>
    </x:row>
    <x:row r="172" ht="30" customHeight="1">
      <x:c r="A172" s="7" t="str">
        <x:v>S165</x:v>
      </x:c>
      <x:c r="B172" s="7" t="str">
        <x:v>SRC-d86ad7b571</x:v>
      </x:c>
      <x:c r="C172" s="7" t="str">
        <x:v>商用車の電動化促進事業における車両の事前登録</x:v>
      </x:c>
      <x:c r="D172" s="7" t="str">
        <x:v>https://www.env.go.jp/press/press_02957.html</x:v>
      </x:c>
      <x:c r="E172" s="7" t="str">
        <x:v>2026-02-16</x:v>
      </x:c>
      <x:c r="F172" s="7" t="str">
        <x:v>受付2026年2月16～20日</x:v>
      </x:c>
      <x:c r="G172" s="18" t="n">
        <x:v>46326</x:v>
      </x:c>
    </x:row>
    <x:row r="173" ht="40.400001525878906" customHeight="1">
      <x:c r="A173" s="7" t="str">
        <x:v>S166</x:v>
      </x:c>
      <x:c r="B173" s="7" t="str">
        <x:v>SRC-e87e180e50</x:v>
      </x:c>
      <x:c r="C173" s="7" t="str">
        <x:v>環境省ナッジ事業結果 EVの昼充電</x:v>
      </x:c>
      <x:c r="D173" s="7" t="str">
        <x:v>https://www.env.go.jp/press/press_03007.html</x:v>
      </x:c>
      <x:c r="E173" s="7" t="str">
        <x:v>2024-03-29</x:v>
      </x:c>
      <x:c r="F173" s="7" t="str">
        <x:v>2023年7月、220人無作為割付
2023年7月の無作為割付実験</x:v>
      </x:c>
      <x:c r="G173" s="18" t="n">
        <x:v>46326</x:v>
      </x:c>
    </x:row>
    <x:row r="174" ht="30" customHeight="1">
      <x:c r="A174" s="7" t="str">
        <x:v>S167</x:v>
      </x:c>
      <x:c r="B174" s="7" t="str">
        <x:v>SRC-d57a84a0d3</x:v>
      </x:c>
      <x:c r="C174" s="7" t="str">
        <x:v>環境省ナッジ事業結果 電力消費昼シフト</x:v>
      </x:c>
      <x:c r="D174" s="7" t="str">
        <x:v>https://www.env.go.jp/press/press_03240.html</x:v>
      </x:c>
      <x:c r="E174" s="7" t="str">
        <x:v>2024-06-07</x:v>
      </x:c>
      <x:c r="F174" s="7" t="str">
        <x:v>EV充電：2023年11月3週間、対照180介入179</x:v>
      </x:c>
      <x:c r="G174" s="18" t="n">
        <x:v>46326</x:v>
      </x:c>
    </x:row>
    <x:row r="175" ht="40.400001525878906" customHeight="1">
      <x:c r="A175" s="7" t="str">
        <x:v>S168</x:v>
      </x:c>
      <x:c r="B175" s="7" t="str">
        <x:v>SRC-3cc5111d85</x:v>
      </x:c>
      <x:c r="C175" s="7" t="str">
        <x:v>グリーンスローモビリティ導入促進事業の第3次公募</x:v>
      </x:c>
      <x:c r="D175" s="7" t="str">
        <x:v>https://www.env.go.jp/press/press_05761.html</x:v>
      </x:c>
      <x:c r="E175" s="7" t="str">
        <x:v>2026-10-27</x:v>
      </x:c>
      <x:c r="F175" s="7" t="str">
        <x:v>公募期間2026年10月27日～12月23日
2026年10月27日から12月23日までの公募</x:v>
      </x:c>
      <x:c r="G175" s="18" t="n">
        <x:v>46326</x:v>
      </x:c>
    </x:row>
    <x:row r="176" ht="40.400001525878906" customHeight="1">
      <x:c r="A176" s="7" t="str">
        <x:v>S169</x:v>
      </x:c>
      <x:c r="B176" s="7" t="str">
        <x:v>SRC-a622b09291</x:v>
      </x:c>
      <x:c r="C176" s="7" t="str">
        <x:v>京浜臨海部での風力由来水素と燃料電池フォークリフト実証</x:v>
      </x:c>
      <x:c r="D176" s="7" t="str">
        <x:v>https://www.env.go.jp/seisaku/list/ondanka_saisei/lowcarbon-h2-sc/company/PDF/demonstration_01.pdf</x:v>
      </x:c>
      <x:c r="E176" s="7" t="str"/>
      <x:c r="F176" s="7" t="str">
        <x:v>2015～2020年度、成果・課題</x:v>
      </x:c>
      <x:c r="G176" s="18" t="n">
        <x:v>46326</x:v>
      </x:c>
    </x:row>
    <x:row r="177" ht="40.400001525878906" customHeight="1">
      <x:c r="A177" s="7" t="str">
        <x:v>S170</x:v>
      </x:c>
      <x:c r="B177" s="7" t="str">
        <x:v>SRC-8dbda88238</x:v>
      </x:c>
      <x:c r="C177" s="7" t="str">
        <x:v>鹿追町 家畜ふん尿由来水素の製造・輸送・利用実証</x:v>
      </x:c>
      <x:c r="D177" s="7" t="str">
        <x:v>https://www.env.go.jp/seisaku/list/ondanka_saisei/lowcarbon-h2-sc/company/PDF/demonstration_02.pdf</x:v>
      </x:c>
      <x:c r="E177" s="7" t="str"/>
      <x:c r="F177" s="7" t="str">
        <x:v>2015～2021年度、FCV・FCフォークリフト</x:v>
      </x:c>
      <x:c r="G177" s="18" t="n">
        <x:v>46326</x:v>
      </x:c>
    </x:row>
    <x:row r="178" ht="40.400001525878906" customHeight="1">
      <x:c r="A178" s="7" t="str">
        <x:v>S171</x:v>
      </x:c>
      <x:c r="B178" s="7" t="str">
        <x:v>SRC-75cbe03af4</x:v>
      </x:c>
      <x:c r="C178" s="7" t="str">
        <x:v>山口県周南・下関地域 副生水素サプライチェーン実証</x:v>
      </x:c>
      <x:c r="D178" s="7" t="str">
        <x:v>https://www.env.go.jp/seisaku/list/ondanka_saisei/lowcarbon-h2-sc/company/PDF/demonstration_03.pdf</x:v>
      </x:c>
      <x:c r="E178" s="7" t="str"/>
      <x:c r="F178" s="7" t="str">
        <x:v>2015～2021年度・用途変更</x:v>
      </x:c>
      <x:c r="G178" s="18" t="n">
        <x:v>46326</x:v>
      </x:c>
    </x:row>
    <x:row r="179" ht="40.400001525878906" customHeight="1">
      <x:c r="A179" s="7" t="str">
        <x:v>S172</x:v>
      </x:c>
      <x:c r="B179" s="7" t="str">
        <x:v>SRC-042a78d4f8</x:v>
      </x:c>
      <x:c r="C179" s="7" t="str">
        <x:v>北海道 小水力由来水素サプライチェーン実証</x:v>
      </x:c>
      <x:c r="D179" s="7" t="str">
        <x:v>https://www.env.go.jp/seisaku/list/ondanka_saisei/lowcarbon-h2-sc/company/PDF/demonstration_05.pdf</x:v>
      </x:c>
      <x:c r="E179" s="7" t="str"/>
      <x:c r="F179" s="7" t="str">
        <x:v>2015～2020年度・白糠/釧路・士別</x:v>
      </x:c>
      <x:c r="G179" s="18" t="n">
        <x:v>46326</x:v>
      </x:c>
    </x:row>
    <x:row r="180" ht="40.400001525878906" customHeight="1">
      <x:c r="A180" s="7" t="str">
        <x:v>S173</x:v>
      </x:c>
      <x:c r="B180" s="7" t="str">
        <x:v>SRC-28fec0efe3</x:v>
      </x:c>
      <x:c r="C180" s="7" t="str">
        <x:v>地域連携・低炭素水素技術実証事業 実証一覧</x:v>
      </x:c>
      <x:c r="D180" s="7" t="str">
        <x:v>https://www.env.go.jp/seisaku/list/ondanka_saisei/lowcarbon-h2-sc/company/PDF/demonstration_summary.pdf</x:v>
      </x:c>
      <x:c r="E180" s="7" t="str"/>
      <x:c r="F180" s="7" t="str">
        <x:v>2015年度以降の実証群</x:v>
      </x:c>
      <x:c r="G180" s="18" t="n">
        <x:v>46326</x:v>
      </x:c>
    </x:row>
    <x:row r="181" ht="40.400001525878906" customHeight="1">
      <x:c r="A181" s="7" t="str">
        <x:v>S174</x:v>
      </x:c>
      <x:c r="B181" s="7" t="str">
        <x:v>SRC-b7b3891ed5</x:v>
      </x:c>
      <x:c r="C181" s="7" t="str">
        <x:v>水素サプライチェーンにおける温室効果ガス削減効果に関するLCAガイドライン v2.1</x:v>
      </x:c>
      <x:c r="D181" s="7" t="str">
        <x:v>https://www.env.go.jp/seisaku/list/ondanka_saisei/lowcarbon-h2-sc/support-tool-info/PDF_Excel/support-tool_lca-guide_ver2-1.pdf</x:v>
      </x:c>
      <x:c r="E181" s="7" t="str"/>
      <x:c r="F181" s="7" t="str">
        <x:v>製造・貯蔵・輸送・供給・利用の境界</x:v>
      </x:c>
      <x:c r="G181" s="18" t="n">
        <x:v>46326</x:v>
      </x:c>
    </x:row>
    <x:row r="182" ht="30" customHeight="1">
      <x:c r="A182" s="7" t="str">
        <x:v>S175</x:v>
      </x:c>
      <x:c r="B182" s="7" t="str">
        <x:v>SRC-f76df920ec</x:v>
      </x:c>
      <x:c r="C182" s="7" t="str">
        <x:v>前橋市で5Gを活用した自動運転バス公道実証</x:v>
      </x:c>
      <x:c r="D182" s="7" t="str">
        <x:v>https://www.gunma-u.ac.jp/information/84393</x:v>
      </x:c>
      <x:c r="E182" s="7" t="str">
        <x:v>2021-01-13</x:v>
      </x:c>
      <x:c r="F182" s="7" t="str">
        <x:v>総務省委託、前橋・沼津・御殿場の役割と期間</x:v>
      </x:c>
      <x:c r="G182" s="18" t="n">
        <x:v>46326</x:v>
      </x:c>
    </x:row>
    <x:row r="183" ht="30" customHeight="1">
      <x:c r="A183" s="7" t="str">
        <x:v>S176</x:v>
      </x:c>
      <x:c r="B183" s="7" t="str">
        <x:v>SRC-fea7df62a9</x:v>
      </x:c>
      <x:c r="C183" s="7" t="str">
        <x:v>令和4年第3回飯南町議会定例会行政報告</x:v>
      </x:c>
      <x:c r="D183" s="7" t="str">
        <x:v>https://www.iinan.jp/soshiki/6/4799.html</x:v>
      </x:c>
      <x:c r="E183" s="7" t="str">
        <x:v>2022</x:v>
      </x:c>
      <x:c r="F183" s="7" t="str">
        <x:v>自動運転サービスの状況：累計486人、平日3.3／休日4.0人、町外約8割</x:v>
      </x:c>
      <x:c r="G183" s="18" t="n">
        <x:v>46326</x:v>
      </x:c>
    </x:row>
    <x:row r="184" ht="30" customHeight="1">
      <x:c r="A184" s="7" t="str">
        <x:v>S177</x:v>
      </x:c>
      <x:c r="B184" s="7" t="str">
        <x:v>SRC-99e75edb33</x:v>
      </x:c>
      <x:c r="C184" s="7" t="str">
        <x:v>令和6年飯南町施政方針</x:v>
      </x:c>
      <x:c r="D184" s="7" t="str">
        <x:v>https://www.iinan.jp/uploaded/attachment/5148.pdf</x:v>
      </x:c>
      <x:c r="E184" s="7" t="str">
        <x:v>2024-03-05</x:v>
      </x:c>
      <x:c r="F184" s="7" t="str">
        <x:v>本文p17（PDF p17）：住民利用伸び悩み、今月末で一旦休止</x:v>
      </x:c>
      <x:c r="G184" s="18" t="n">
        <x:v>46326</x:v>
      </x:c>
    </x:row>
    <x:row r="185" ht="30" customHeight="1">
      <x:c r="A185" s="7" t="str">
        <x:v>S178</x:v>
      </x:c>
      <x:c r="B185" s="7" t="str">
        <x:v>SRC-e3e51bf75a</x:v>
      </x:c>
      <x:c r="C185" s="7" t="str">
        <x:v>飯南町地域公共交通計画（令和8年度～）</x:v>
      </x:c>
      <x:c r="D185" s="7" t="str">
        <x:v>https://www.iinan.jp/uploaded/attachment/7631.pdf</x:v>
      </x:c>
      <x:c r="E185" s="7" t="str">
        <x:v>2026</x:v>
      </x:c>
      <x:c r="F185" s="7" t="str">
        <x:v>本文p34（PDF p38）事業8：現在休止、イベント・他地区活用を調査研究</x:v>
      </x:c>
      <x:c r="G185" s="18" t="n">
        <x:v>46326</x:v>
      </x:c>
    </x:row>
    <x:row r="186" ht="40.400001525878906" customHeight="1">
      <x:c r="A186" s="7" t="str">
        <x:v>S179</x:v>
      </x:c>
      <x:c r="B186" s="7" t="str">
        <x:v>SRC-81f9cf7210</x:v>
      </x:c>
      <x:c r="C186" s="7" t="str">
        <x:v>伊那市 地域再生計画資料</x:v>
      </x:c>
      <x:c r="D186" s="7" t="str">
        <x:v>https://www.inacity.jp/koho/pressrelease/inapress0802/inapress080218.files/PR080218_chiikisozo.pdf</x:v>
      </x:c>
      <x:c r="E186" s="7" t="str">
        <x:v>2026-02-18</x:v>
      </x:c>
      <x:c r="F186" s="7" t="str">
        <x:v>PDF p15：医療MaaSの2026–2030計画と費用</x:v>
      </x:c>
      <x:c r="G186" s="18" t="n">
        <x:v>46326</x:v>
      </x:c>
    </x:row>
    <x:row r="187" ht="40.400001525878906" customHeight="1">
      <x:c r="A187" s="7" t="str">
        <x:v>S180</x:v>
      </x:c>
      <x:c r="B187" s="7" t="str">
        <x:v>SRC-61c177a334</x:v>
      </x:c>
      <x:c r="C187" s="7" t="str">
        <x:v>伊那市ドローン物流の社会実装</x:v>
      </x:c>
      <x:c r="D187" s="7" t="str">
        <x:v>https://www.inacity.jp/shisei/inashiseisakusesaku/shinsangyougijutu/dronekatuyou/174kija20210129.html</x:v>
      </x:c>
      <x:c r="E187" s="7" t="str">
        <x:v>2021-01-29</x:v>
      </x:c>
      <x:c r="F187" s="7" t="str">
        <x:v>2018協定、2020/8/5サービス開始</x:v>
      </x:c>
      <x:c r="G187" s="18" t="n">
        <x:v>46326</x:v>
      </x:c>
    </x:row>
    <x:row r="188" ht="40.400001525878906" customHeight="1">
      <x:c r="A188" s="7" t="str">
        <x:v>S181</x:v>
      </x:c>
      <x:c r="B188" s="7" t="str">
        <x:v>SRC-8e7596ba84</x:v>
      </x:c>
      <x:c r="C188" s="7" t="str">
        <x:v>国内初 ドローンによる10km超の商品配送</x:v>
      </x:c>
      <x:c r="D188" s="7" t="str">
        <x:v>https://www.inacity.jp/shisei/inashiseisakusesaku/shinsangyougijutu/dronekatuyou/174kija2021111716.html</x:v>
      </x:c>
      <x:c r="E188" s="7" t="str">
        <x:v>2021-11-17</x:v>
      </x:c>
      <x:c r="F188" s="7" t="str">
        <x:v>11月16日河川ルート実運用、地元最終配送</x:v>
      </x:c>
      <x:c r="G188" s="18" t="n">
        <x:v>46326</x:v>
      </x:c>
    </x:row>
    <x:row r="189" ht="40.400001525878906" customHeight="1">
      <x:c r="A189" s="7" t="str">
        <x:v>S182</x:v>
      </x:c>
      <x:c r="B189" s="7" t="str">
        <x:v>SRC-802395fdd3</x:v>
      </x:c>
      <x:c r="C189" s="7" t="str">
        <x:v>伊那市 モバイルクリニック</x:v>
      </x:c>
      <x:c r="D189" s="7" t="str">
        <x:v>https://www.inacity.jp/shisei/inashiseisakusesaku/shinsangyougijutu/mobileclinic/mobileclinicmain.html</x:v>
      </x:c>
      <x:c r="E189" s="7" t="str">
        <x:v>2026-04-09</x:v>
      </x:c>
      <x:c r="F189" s="7" t="str">
        <x:v>医療機関と看護師搭乗車両の訪問によるオンライン診療</x:v>
      </x:c>
      <x:c r="G189" s="18" t="n">
        <x:v>46326</x:v>
      </x:c>
    </x:row>
    <x:row r="190" ht="30" customHeight="1">
      <x:c r="A190" s="7" t="str">
        <x:v>S183</x:v>
      </x:c>
      <x:c r="B190" s="7" t="str">
        <x:v>SRC-c94d4689db</x:v>
      </x:c>
      <x:c r="C190" s="7" t="str">
        <x:v>ゆうあいマーケット</x:v>
      </x:c>
      <x:c r="D190" s="7" t="str">
        <x:v>https://www.inacity.jp/shisei/inashiseisakusesaku/shinsangyougijutu/yuuaimarket/index.html</x:v>
      </x:c>
      <x:c r="E190" s="7" t="str"/>
      <x:c r="F190" s="7" t="str">
        <x:v>令和6年度末にドローン商品配送を終了。買物支援は案内継続。2026/10/31確認</x:v>
      </x:c>
      <x:c r="G190" s="18" t="n">
        <x:v>46326</x:v>
      </x:c>
    </x:row>
    <x:row r="191" ht="30" customHeight="1">
      <x:c r="A191" s="7" t="str">
        <x:v>S184</x:v>
      </x:c>
      <x:c r="B191" s="7" t="str">
        <x:v>SRC-74f7454ed3</x:v>
      </x:c>
      <x:c r="C191" s="7" t="str">
        <x:v>令和7年度一般会計予算</x:v>
      </x:c>
      <x:c r="D191" s="7" t="str">
        <x:v>https://www.inacity.jp/shisei/zaiseishiryoko/yosankankei/R7yosansho.files/R7_tosho_ippan.pdf</x:v>
      </x:c>
      <x:c r="E191" s="7" t="str">
        <x:v>2025</x:v>
      </x:c>
      <x:c r="F191" s="7" t="str">
        <x:v>p.58 買物支援サービス運営業務委託10,941千円。決算でない</x:v>
      </x:c>
      <x:c r="G191" s="18" t="n">
        <x:v>46326</x:v>
      </x:c>
    </x:row>
    <x:row r="192" ht="40.400001525878906" customHeight="1">
      <x:c r="A192" s="7" t="str">
        <x:v>S185</x:v>
      </x:c>
      <x:c r="B192" s="7" t="str">
        <x:v>SRC-d58b271b04</x:v>
      </x:c>
      <x:c r="C192" s="7" t="str">
        <x:v>my routeアプリ一部きっぷ利用方法変更</x:v>
      </x:c>
      <x:c r="D192" s="7" t="str">
        <x:v>https://www.jrkyushu.co.jp/common/inc/news/newtopics/__icsFiles/afieldfile/2025/10/23/20251024_my_route_ticket_kitakyushu_Changes_to_usage_methods.pdf</x:v>
      </x:c>
      <x:c r="E192" s="7" t="str">
        <x:v>2025-10-24</x:v>
      </x:c>
      <x:c r="F192" s="7" t="str">
        <x:v>2025/10/26大分・別府～北九州空港きっぷQR改札対応</x:v>
      </x:c>
      <x:c r="G192" s="18" t="n">
        <x:v>46326</x:v>
      </x:c>
    </x:row>
    <x:row r="193" ht="30" customHeight="1">
      <x:c r="A193" s="7" t="str">
        <x:v>S186</x:v>
      </x:c>
      <x:c r="B193" s="7" t="str">
        <x:v>SRC-170a29faaa</x:v>
      </x:c>
      <x:c r="C193" s="7" t="str">
        <x:v>輪島の思い出</x:v>
      </x:c>
      <x:c r="D193" s="7" t="str">
        <x:v>https://www.jstage.jst.go.jp/article/jarijrj/2024/4/2024_JRJ20240401/_html/-char/ja</x:v>
      </x:c>
      <x:c r="E193" s="7" t="str">
        <x:v>2024-04</x:v>
      </x:c>
      <x:c r="F193" s="7" t="str">
        <x:v>JARI研究者による取組経緯、国事業終了後</x:v>
      </x:c>
      <x:c r="G193" s="18" t="n">
        <x:v>46326</x:v>
      </x:c>
    </x:row>
    <x:row r="194" ht="30" customHeight="1">
      <x:c r="A194" s="7" t="str">
        <x:v>S187</x:v>
      </x:c>
      <x:c r="B194" s="7" t="str">
        <x:v>SRC-e70b6bf666</x:v>
      </x:c>
      <x:c r="C194" s="7" t="str">
        <x:v>高齢者のオンライン診療を担う伊那市医療MaaS事業の現状と課題</x:v>
      </x:c>
      <x:c r="D194" s="7" t="str">
        <x:v>https://www.jstage.jst.go.jp/article/jjrm/75/1/75_37/_article/-char/ja</x:v>
      </x:c>
      <x:c r="E194" s="7" t="str">
        <x:v>2026</x:v>
      </x:c>
      <x:c r="F194" s="7" t="str">
        <x:v>抄録：2023年度19人81診療、訪問診療との併用、看護師能力</x:v>
      </x:c>
      <x:c r="G194" s="18" t="n">
        <x:v>46326</x:v>
      </x:c>
    </x:row>
    <x:row r="195" ht="40.400001525878906" customHeight="1">
      <x:c r="A195" s="7" t="str">
        <x:v>S188</x:v>
      </x:c>
      <x:c r="B195" s="7" t="str">
        <x:v>SRC-6bba5e5a9d</x:v>
      </x:c>
      <x:c r="C195" s="7" t="str">
        <x:v>上士幌町 自動運転の地域実装プロジェクト</x:v>
      </x:c>
      <x:c r="D195" s="7" t="str">
        <x:v>https://www.kamishihoro.jp/sp/self_driving_bus</x:v>
      </x:c>
      <x:c r="E195" s="7" t="str">
        <x:v>2026-10-31閲覧（2026-09-14告知含む）</x:v>
      </x:c>
      <x:c r="F195" s="7" t="str">
        <x:v>運行日・ルート、時刻表：2026-06-20よりメンテナンス運休・再開未定。ロボタクは別実証
ARMA運行案内、2026-06-20から運休、経緯一覧</x:v>
      </x:c>
      <x:c r="G195" s="18" t="n">
        <x:v>46326</x:v>
      </x:c>
    </x:row>
    <x:row r="196" ht="30" customHeight="1">
      <x:c r="A196" s="7" t="str">
        <x:v>S189</x:v>
      </x:c>
      <x:c r="B196" s="7" t="str">
        <x:v>SRC-ff582e59bf</x:v>
      </x:c>
      <x:c r="C196" s="7" t="str">
        <x:v>道の駅奥永源寺渓流の里実証実験をスタート</x:v>
      </x:c>
      <x:c r="D196" s="7" t="str">
        <x:v>https://www.kkr.mlit.go.jp/news/top/press/2017/20171102-4.html</x:v>
      </x:c>
      <x:c r="E196" s="7" t="str">
        <x:v>2017-11-02</x:v>
      </x:c>
      <x:c r="F196" s="7" t="str">
        <x:v>2017-11-11～17、専用空間レベル4実験との条件付き記述</x:v>
      </x:c>
      <x:c r="G196" s="18" t="n">
        <x:v>46326</x:v>
      </x:c>
    </x:row>
    <x:row r="197" ht="30" customHeight="1">
      <x:c r="A197" s="7" t="str">
        <x:v>S190</x:v>
      </x:c>
      <x:c r="B197" s="7" t="str">
        <x:v>SRC-a094a2d09e</x:v>
      </x:c>
      <x:c r="C197" s="7" t="str">
        <x:v>奥永源寺長期実証実験</x:v>
      </x:c>
      <x:c r="D197" s="7" t="str">
        <x:v>https://www.kkr.mlit.go.jp/news/top/press/2019/sih68m0000001y8m-att/191107-2jidouunten.pdf</x:v>
      </x:c>
      <x:c r="E197" s="7" t="str">
        <x:v>2019-11-07</x:v>
      </x:c>
      <x:c r="F197" s="7" t="str">
        <x:v>2019-11-15～12-20</x:v>
      </x:c>
      <x:c r="G197" s="18" t="n">
        <x:v>46326</x:v>
      </x:c>
    </x:row>
    <x:row r="198" ht="30" customHeight="1">
      <x:c r="A198" s="7" t="str">
        <x:v>S191</x:v>
      </x:c>
      <x:c r="B198" s="7" t="str">
        <x:v>SRC-7d81d5caf8</x:v>
      </x:c>
      <x:c r="C198" s="7" t="str">
        <x:v>奥永源寺自動運転 時刻表・料金</x:v>
      </x:c>
      <x:c r="D198" s="7" t="str">
        <x:v>https://www.kkr.mlit.go.jp/road/dgmx/jidouunten/l3qeuq000000fxfr-att/r9733f000003de1k.pdf</x:v>
      </x:c>
      <x:c r="E198" s="7" t="str"/>
      <x:c r="F198" s="7" t="str">
        <x:v>p2 運賃150円・貨物100円・乗客5人</x:v>
      </x:c>
      <x:c r="G198" s="18" t="n">
        <x:v>46326</x:v>
      </x:c>
    </x:row>
    <x:row r="199" ht="30" customHeight="1">
      <x:c r="A199" s="7" t="str">
        <x:v>S192</x:v>
      </x:c>
      <x:c r="B199" s="7" t="str">
        <x:v>SRC-6c5dc4fc02</x:v>
      </x:c>
      <x:c r="C199" s="7" t="str">
        <x:v>道の駅奥永源寺渓流の里を拠点とする自動運転</x:v>
      </x:c>
      <x:c r="D199" s="7" t="str">
        <x:v>https://www.kkr.mlit.go.jp/road/dgmx/jidouunten/okueigenji.html</x:v>
      </x:c>
      <x:c r="E199" s="7" t="str"/>
      <x:c r="F199" s="7" t="str">
        <x:v>2019長期実験／2021本格導入／2025–26運行報告索引</x:v>
      </x:c>
      <x:c r="G199" s="18" t="n">
        <x:v>46326</x:v>
      </x:c>
    </x:row>
    <x:row r="200" ht="40.400001525878906" customHeight="1">
      <x:c r="A200" s="7" t="str">
        <x:v>S193</x:v>
      </x:c>
      <x:c r="B200" s="7" t="str">
        <x:v>SRC-6f5bff755a</x:v>
      </x:c>
      <x:c r="C200" s="7" t="str">
        <x:v>自動運転レポートVol.4 奥永源寺</x:v>
      </x:c>
      <x:c r="D200" s="7" t="str">
        <x:v>https://www.kkr.mlit.go.jp/road/dgmx/jidouunten/or2riv000001md9t-att/c9us5e00000aj7zp.pdf</x:v>
      </x:c>
      <x:c r="E200" s="7" t="str">
        <x:v>2025-12</x:v>
      </x:c>
      <x:c r="F200" s="7" t="str">
        <x:v>p4 利用者数：2025年11月まで累計5,850人
PDF p4</x:v>
      </x:c>
      <x:c r="G200" s="18" t="n">
        <x:v>46326</x:v>
      </x:c>
    </x:row>
    <x:row r="201" ht="30" customHeight="1">
      <x:c r="A201" s="7" t="str">
        <x:v>S194</x:v>
      </x:c>
      <x:c r="B201" s="7" t="str">
        <x:v>SRC-8a9ae80cf1</x:v>
      </x:c>
      <x:c r="C201" s="7" t="str">
        <x:v>菰野町おでかけこもの</x:v>
      </x:c>
      <x:c r="D201" s="7" t="str">
        <x:v>https://www.kotsu.town.komono.mie.jp/</x:v>
      </x:c>
      <x:c r="E201" s="7" t="str"/>
      <x:c r="F201" s="7" t="str">
        <x:v>現行予約ポータル。最終確認2026/10/31</x:v>
      </x:c>
      <x:c r="G201" s="18" t="n">
        <x:v>46326</x:v>
      </x:c>
    </x:row>
    <x:row r="202" ht="30" customHeight="1">
      <x:c r="A202" s="7" t="str">
        <x:v>S195</x:v>
      </x:c>
      <x:c r="B202" s="7" t="str">
        <x:v>SRC-413409abe3</x:v>
      </x:c>
      <x:c r="C202" s="7" t="str">
        <x:v>関東道路ビジョン等・地域自動運転の取組</x:v>
      </x:c>
      <x:c r="D202" s="7" t="str">
        <x:v>https://www.ktr.mlit.go.jp/ktr_content/content/000809002.pdf</x:v>
      </x:c>
      <x:c r="E202" s="7" t="str"/>
      <x:c r="F202" s="7" t="str">
        <x:v>p45 にしかた／ひたちおおた実験期間・貨客混載</x:v>
      </x:c>
      <x:c r="G202" s="18" t="n">
        <x:v>46326</x:v>
      </x:c>
    </x:row>
    <x:row r="203" ht="30" customHeight="1">
      <x:c r="A203" s="7" t="str">
        <x:v>S196</x:v>
      </x:c>
      <x:c r="B203" s="7" t="str">
        <x:v>SRC-1d9f8b59a3</x:v>
      </x:c>
      <x:c r="C203" s="7" t="str">
        <x:v>道の駅にしかた 自動運転サービス実証</x:v>
      </x:c>
      <x:c r="D203" s="7" t="str">
        <x:v>https://www.ktr.mlit.go.jp/road/chiiki/road_chiiki00000127.html</x:v>
      </x:c>
      <x:c r="E203" s="7" t="str"/>
      <x:c r="F203" s="7" t="str">
        <x:v>2017年9月2日開始式・関連発表</x:v>
      </x:c>
      <x:c r="G203" s="18" t="n">
        <x:v>46326</x:v>
      </x:c>
    </x:row>
    <x:row r="204" ht="30" customHeight="1">
      <x:c r="A204" s="7" t="str">
        <x:v>S197</x:v>
      </x:c>
      <x:c r="B204" s="7" t="str">
        <x:v>SRC-7647633cb4</x:v>
      </x:c>
      <x:c r="C204" s="7" t="str">
        <x:v>九州電力 V2G・VPPの取組</x:v>
      </x:c>
      <x:c r="D204" s="7" t="str">
        <x:v>https://www.kyuden.co.jp/company/history/energy/technology/technology-2.html</x:v>
      </x:c>
      <x:c r="E204" s="7" t="str"/>
      <x:c r="F204" s="7" t="str">
        <x:v>2018–2020、2019年度6拠点16台、応答1分以内</x:v>
      </x:c>
      <x:c r="G204" s="18" t="n">
        <x:v>46326</x:v>
      </x:c>
    </x:row>
    <x:row r="205" ht="30" customHeight="1">
      <x:c r="A205" s="7" t="str">
        <x:v>S198</x:v>
      </x:c>
      <x:c r="B205" s="7" t="str">
        <x:v>SRC-0d038964d4</x:v>
      </x:c>
      <x:c r="C205" s="7" t="str">
        <x:v>第一交通産業 MaaS事業</x:v>
      </x:c>
      <x:c r="D205" s="7" t="str">
        <x:v>https://www.kyushu.meti.go.jp/seisaku/chuken/oshirase/250605_1_3.pdf</x:v>
      </x:c>
      <x:c r="E205" s="7" t="str">
        <x:v>2025-06-05</x:v>
      </x:c>
      <x:c r="F205" s="7" t="str">
        <x:v>p.10、九州MaaS2024/8開始、大分MaaSとモタク・ホーバー連携区別</x:v>
      </x:c>
      <x:c r="G205" s="18" t="n">
        <x:v>46326</x:v>
      </x:c>
    </x:row>
    <x:row r="206" ht="30" customHeight="1">
      <x:c r="A206" s="7" t="str">
        <x:v>S199</x:v>
      </x:c>
      <x:c r="B206" s="7" t="str">
        <x:v>SRC-11b5defcfd</x:v>
      </x:c>
      <x:c r="C206" s="7" t="str">
        <x:v>加子母の広報と生活支援システム</x:v>
      </x:c>
      <x:c r="D206" s="7" t="str">
        <x:v>https://www.maff.go.jp/j/nousin/digikatsu/attach/pdf/index-47.pdf</x:v>
      </x:c>
      <x:c r="E206" s="7" t="str">
        <x:v>2023-08-29</x:v>
      </x:c>
      <x:c r="F206" s="7" t="str">
        <x:v>PDF p5工程、p9買物配達</x:v>
      </x:c>
      <x:c r="G206" s="18" t="n">
        <x:v>46326</x:v>
      </x:c>
    </x:row>
    <x:row r="207" ht="30" customHeight="1">
      <x:c r="A207" s="7" t="str">
        <x:v>S200</x:v>
      </x:c>
      <x:c r="B207" s="7" t="str">
        <x:v>SRC-c0a5f9cabe</x:v>
      </x:c>
      <x:c r="C207" s="7" t="str">
        <x:v>デジタル技術を活用した地域づくり 山口市阿東</x:v>
      </x:c>
      <x:c r="D207" s="7" t="str">
        <x:v>https://www.maff.go.jp/j/nousin/digikatsu/attach/pdf/index-48.pdf</x:v>
      </x:c>
      <x:c r="E207" s="7" t="str">
        <x:v>2023-08-29</x:v>
      </x:c>
      <x:c r="F207" s="7" t="str">
        <x:v>PDF p2沿革、p4生活機能、p6連携</x:v>
      </x:c>
      <x:c r="G207" s="18" t="n">
        <x:v>46326</x:v>
      </x:c>
    </x:row>
    <x:row r="208" ht="30" customHeight="1">
      <x:c r="A208" s="7" t="str">
        <x:v>S201</x:v>
      </x:c>
      <x:c r="B208" s="7" t="str">
        <x:v>SRC-5a60808639</x:v>
      </x:c>
      <x:c r="C208" s="7" t="str">
        <x:v>デジ活中山間地域</x:v>
      </x:c>
      <x:c r="D208" s="7" t="str">
        <x:v>https://www.maff.go.jp/j/nousin/digikatsu/index.html</x:v>
      </x:c>
      <x:c r="E208" s="7" t="str">
        <x:v>2026-08-28</x:v>
      </x:c>
      <x:c r="F208" s="7" t="str">
        <x:v>登録状況と関連施策・セミナー</x:v>
      </x:c>
      <x:c r="G208" s="18" t="n">
        <x:v>46326</x:v>
      </x:c>
    </x:row>
    <x:row r="209" ht="40.400001525878906" customHeight="1">
      <x:c r="A209" s="7" t="str">
        <x:v>S202</x:v>
      </x:c>
      <x:c r="B209" s="7" t="str">
        <x:v>SRC-52b06b1f93</x:v>
      </x:c>
      <x:c r="C209" s="7" t="str">
        <x:v>VPP構築実証事業成果整理</x:v>
      </x:c>
      <x:c r="D209" s="7" t="str">
        <x:v>https://www.meti.go.jp/meti_lib/report/2020FY/000011.pdf</x:v>
      </x:c>
      <x:c r="E209" s="7" t="str">
        <x:v>2021</x:v>
      </x:c>
      <x:c r="F209" s="7" t="str">
        <x:v>V2Gの2016–2020年度整理、p.152付近
2016年度から2020年度の成果整理</x:v>
      </x:c>
      <x:c r="G209" s="18" t="n">
        <x:v>46326</x:v>
      </x:c>
    </x:row>
    <x:row r="210" ht="30" customHeight="1">
      <x:c r="A210" s="7" t="str">
        <x:v>S203</x:v>
      </x:c>
      <x:c r="B210" s="7" t="str">
        <x:v>SRC-c774062e99</x:v>
      </x:c>
      <x:c r="C210" s="7" t="str">
        <x:v>令和7年度地域新MaaS採択事業</x:v>
      </x:c>
      <x:c r="D210" s="7" t="str">
        <x:v>https://www.meti.go.jp/policy/automobile/caseyosan/PDF/r7saitaku.pdf</x:v>
      </x:c>
      <x:c r="E210" s="7" t="str">
        <x:v>2025</x:v>
      </x:c>
      <x:c r="F210" s="7" t="str">
        <x:v>p.7 大田市、仁寿会、共同医療車両</x:v>
      </x:c>
      <x:c r="G210" s="18" t="n">
        <x:v>46326</x:v>
      </x:c>
    </x:row>
    <x:row r="211" ht="30" customHeight="1">
      <x:c r="A211" s="7" t="str">
        <x:v>S204</x:v>
      </x:c>
      <x:c r="B211" s="7" t="str">
        <x:v>SRC-e6fc31a150</x:v>
      </x:c>
      <x:c r="C211" s="7" t="str">
        <x:v>デジタルライフライン全国総合整備計画</x:v>
      </x:c>
      <x:c r="D211" s="7" t="str">
        <x:v>https://www.meti.go.jp/policy/mono_info_service/digital_architecture/keikaku.pdf</x:v>
      </x:c>
      <x:c r="E211" s="7" t="str">
        <x:v>2024-06</x:v>
      </x:c>
      <x:c r="F211" s="7" t="str">
        <x:v>デジタル社会推進会議・デジタル行財政改革会議・整備実現会議の共同決定</x:v>
      </x:c>
      <x:c r="G211" s="18" t="n">
        <x:v>46326</x:v>
      </x:c>
    </x:row>
    <x:row r="212" ht="40.400001525878906" customHeight="1">
      <x:c r="A212" s="7" t="str">
        <x:v>S205</x:v>
      </x:c>
      <x:c r="B212" s="7" t="str">
        <x:v>SRC-27f9707c1a</x:v>
      </x:c>
      <x:c r="C212" s="7" t="str">
        <x:v>自動運転サービス支援道 2024年度総括</x:v>
      </x:c>
      <x:c r="D212" s="7" t="str">
        <x:v>https://www.meti.go.jp/policy/mono_info_service/digital_architecture/lifeline/jitugen2-siryou3.pdf</x:v>
      </x:c>
      <x:c r="E212" s="7" t="str">
        <x:v>2025</x:v>
      </x:c>
      <x:c r="F212" s="7" t="str">
        <x:v>p8：新東名・日立市大甕駅周辺の実証、仕様書・参照実装公開</x:v>
      </x:c>
      <x:c r="G212" s="18" t="n">
        <x:v>46326</x:v>
      </x:c>
    </x:row>
    <x:row r="213" ht="30" customHeight="1">
      <x:c r="A213" s="7" t="str">
        <x:v>S206</x:v>
      </x:c>
      <x:c r="B213" s="7" t="str">
        <x:v>SRC-3197dcf70f</x:v>
      </x:c>
      <x:c r="C213" s="7" t="str">
        <x:v>物流MaaS関連情報</x:v>
      </x:c>
      <x:c r="D213" s="7" t="str">
        <x:v>https://www.meti.go.jp/policy/mono_info_service/mono/automobile/automated-driving.html</x:v>
      </x:c>
      <x:c r="E213" s="7" t="str">
        <x:v>2026-03</x:v>
      </x:c>
      <x:c r="F213" s="7" t="str">
        <x:v>トラックデータ標準API v2.0、共同輸送/自動荷役ガイド</x:v>
      </x:c>
      <x:c r="G213" s="18" t="n">
        <x:v>46326</x:v>
      </x:c>
    </x:row>
    <x:row r="214" ht="30" customHeight="1">
      <x:c r="A214" s="7" t="str">
        <x:v>S207</x:v>
      </x:c>
      <x:c r="B214" s="7" t="str">
        <x:v>SRC-3d547f8c0c</x:v>
      </x:c>
      <x:c r="C214" s="7" t="str">
        <x:v>充電インフラの普及に向けた取組</x:v>
      </x:c>
      <x:c r="D214" s="7" t="str">
        <x:v>https://www.meti.go.jp/policy/mono_info_service/mono/automobile/charging-infra-fukyu.html</x:v>
      </x:c>
      <x:c r="E214" s="7" t="str">
        <x:v>2025-06-05</x:v>
      </x:c>
      <x:c r="F214" s="7" t="str">
        <x:v>2030年30万口、FY2024末6.8万口、FY2024補正360億+FY2025当初100億</x:v>
      </x:c>
      <x:c r="G214" s="18" t="n">
        <x:v>46326</x:v>
      </x:c>
    </x:row>
    <x:row r="215" ht="30" customHeight="1">
      <x:c r="A215" s="7" t="str">
        <x:v>S208</x:v>
      </x:c>
      <x:c r="B215" s="7" t="str">
        <x:v>SRC-63ba9ee69f</x:v>
      </x:c>
      <x:c r="C215" s="7" t="str">
        <x:v>自動走行ビジネス検討会資料</x:v>
      </x:c>
      <x:c r="D215" s="7" t="str">
        <x:v>https://www.meti.go.jp/policy/mono_info_service/mono/automobile/jido_soko/pdf/012_s01_00.pdf</x:v>
      </x:c>
      <x:c r="E215" s="7" t="str"/>
      <x:c r="F215" s="7" t="str">
        <x:v>2021年2月22日後続車運転席無人隊列走行</x:v>
      </x:c>
      <x:c r="G215" s="18" t="n">
        <x:v>46326</x:v>
      </x:c>
    </x:row>
    <x:row r="216" ht="30" customHeight="1">
      <x:c r="A216" s="7" t="str">
        <x:v>S209</x:v>
      </x:c>
      <x:c r="B216" s="7" t="str">
        <x:v>SRC-4a8df284a4</x:v>
      </x:c>
      <x:c r="C216" s="7" t="str">
        <x:v>物流MaaS 自動荷役の実証成果</x:v>
      </x:c>
      <x:c r="D216" s="7" t="str">
        <x:v>https://www.meti.go.jp/policy/mono_info_service/mono/automobile/pdf/bmaas2402_03nlj.pdf</x:v>
      </x:c>
      <x:c r="E216" s="7" t="str">
        <x:v>2025-03-06</x:v>
      </x:c>
      <x:c r="F216" s="7" t="str">
        <x:v>2022–2025開発段階、実荷物検証</x:v>
      </x:c>
      <x:c r="G216" s="18" t="n">
        <x:v>46326</x:v>
      </x:c>
    </x:row>
    <x:row r="217" ht="40.400001525878906" customHeight="1">
      <x:c r="A217" s="7" t="str">
        <x:v>S210</x:v>
      </x:c>
      <x:c r="B217" s="7" t="str">
        <x:v>SRC-6985ffcd9c</x:v>
      </x:c>
      <x:c r="C217" s="7" t="str">
        <x:v>令和4年度地域新MaaS公募資料</x:v>
      </x:c>
      <x:c r="D217" s="7" t="str">
        <x:v>https://www.meti.go.jp/policy/mono_info_service/smartcity/2022040508.pdf</x:v>
      </x:c>
      <x:c r="E217" s="7" t="str">
        <x:v>2022-04-05</x:v>
      </x:c>
      <x:c r="F217" s="7" t="str">
        <x:v>p.1、2019年度13・2020年度16・2021年度14地域
2019年度以降の採択経過</x:v>
      </x:c>
      <x:c r="G217" s="18" t="n">
        <x:v>46326</x:v>
      </x:c>
    </x:row>
    <x:row r="218" ht="40.400001525878906" customHeight="1">
      <x:c r="A218" s="7" t="str">
        <x:v>S211</x:v>
      </x:c>
      <x:c r="B218" s="7" t="str">
        <x:v>SRC-91c991f144</x:v>
      </x:c>
      <x:c r="C218" s="7" t="str">
        <x:v>三豊市 共同送迎実証成果</x:v>
      </x:c>
      <x:c r="D218" s="7" t="str">
        <x:v>https://www.meti.go.jp/shingikai/mono_info_service/smart_mobility_challenge/pdf/20220405_01_s01.pdf</x:v>
      </x:c>
      <x:c r="E218" s="7" t="str">
        <x:v>2022-04-05</x:v>
      </x:c>
      <x:c r="F218" s="7" t="str">
        <x:v>2021/11/29–2022/1/20、コロナにより8日前倒し終了。FY2020運行経費2割削減</x:v>
      </x:c>
      <x:c r="G218" s="18" t="n">
        <x:v>46326</x:v>
      </x:c>
    </x:row>
    <x:row r="219" ht="40.400001525878906" customHeight="1">
      <x:c r="A219" s="7" t="str">
        <x:v>S212</x:v>
      </x:c>
      <x:c r="B219" s="7" t="str">
        <x:v>SRC-8254ddf9aa</x:v>
      </x:c>
      <x:c r="C219" s="7" t="str">
        <x:v>スマートモビリティチャレンジ 5年間の振り返り</x:v>
      </x:c>
      <x:c r="D219" s="7" t="str">
        <x:v>https://www.meti.go.jp/shingikai/mono_info_service/smart_mobility_challenge/pdf/20240328_04.pdf</x:v>
      </x:c>
      <x:c r="E219" s="7" t="str">
        <x:v>2024-03-28</x:v>
      </x:c>
      <x:c r="F219" s="7" t="str">
        <x:v>62地域・9実装、単年度少額支援等の課題</x:v>
      </x:c>
      <x:c r="G219" s="18" t="n">
        <x:v>46326</x:v>
      </x:c>
    </x:row>
    <x:row r="220" ht="40.400001525878906" customHeight="1">
      <x:c r="A220" s="7" t="str">
        <x:v>S213</x:v>
      </x:c>
      <x:c r="B220" s="7" t="str">
        <x:v>SRC-7ffa2cf4ca</x:v>
      </x:c>
      <x:c r="C220" s="7" t="str">
        <x:v>スマートモビリティチャレンジ 7年間の総括</x:v>
      </x:c>
      <x:c r="D220" s="7" t="str">
        <x:v>https://www.meti.go.jp/shingikai/mono_info_service/smart_mobility_challenge/pdf/20260327_2.pdf</x:v>
      </x:c>
      <x:c r="E220" s="7" t="str">
        <x:v>2026-03-27</x:v>
      </x:c>
      <x:c r="F220" s="7" t="str">
        <x:v>p.4：73地域・17地域26事例。p.5：継続状況・定義、調査2025/7–12
p5：抽出サービス類型別社会実装状況、2025年7–12月調査</x:v>
      </x:c>
      <x:c r="G220" s="18" t="n">
        <x:v>46326</x:v>
      </x:c>
    </x:row>
    <x:row r="221" ht="30" customHeight="1">
      <x:c r="A221" s="7" t="str">
        <x:v>S214</x:v>
      </x:c>
      <x:c r="B221" s="7" t="str">
        <x:v>SRC-c1bd878bf7</x:v>
      </x:c>
      <x:c r="C221" s="7" t="str">
        <x:v>令和7年度地域新MaaS成果報告</x:v>
      </x:c>
      <x:c r="D221" s="7" t="str">
        <x:v>https://www.meti.go.jp/shingikai/mono_info_service/smart_mobility_challenge/pdf/20260327_3.pdf</x:v>
      </x:c>
      <x:c r="E221" s="7" t="str">
        <x:v>2026-03-27</x:v>
      </x:c>
      <x:c r="F221" s="7" t="str">
        <x:v>p.257 三重3町の課題、p.262 大田市医療車両共同利用</x:v>
      </x:c>
      <x:c r="G221" s="18" t="n">
        <x:v>46326</x:v>
      </x:c>
    </x:row>
    <x:row r="222" ht="30" customHeight="1">
      <x:c r="A222" s="7" t="str">
        <x:v>S215</x:v>
      </x:c>
      <x:c r="B222" s="7" t="str">
        <x:v>SRC-4170ff9960</x:v>
      </x:c>
      <x:c r="C222" s="7" t="str">
        <x:v>スマートモビリティの創り方 第3版</x:v>
      </x:c>
      <x:c r="D222" s="7" t="str">
        <x:v>https://www.meti.go.jp/shingikai/mono_info_service/smart_mobility_challenge/pdf/20260327_5.pdf</x:v>
      </x:c>
      <x:c r="E222" s="7" t="str">
        <x:v>2026-03-27</x:v>
      </x:c>
      <x:c r="F222" s="7" t="str">
        <x:v>事例15 湖西企業シャトルBaaS、2026年1月通年運行</x:v>
      </x:c>
      <x:c r="G222" s="18" t="n">
        <x:v>46326</x:v>
      </x:c>
    </x:row>
    <x:row r="223" ht="30" customHeight="1">
      <x:c r="A223" s="7" t="str">
        <x:v>S216</x:v>
      </x:c>
      <x:c r="B223" s="7" t="str">
        <x:v>SRC-826dfb8709</x:v>
      </x:c>
      <x:c r="C223" s="7" t="str">
        <x:v>介護予防 日常生活支援総合事業</x:v>
      </x:c>
      <x:c r="D223" s="7" t="str">
        <x:v>https://www.mhlw.go.jp/stf/seisakunitsuite/bunya/0000192992.html</x:v>
      </x:c>
      <x:c r="E223" s="7" t="str"/>
      <x:c r="F223" s="7" t="str">
        <x:v>概要、実施状況、先行事例</x:v>
      </x:c>
      <x:c r="G223" s="18" t="n">
        <x:v>46326</x:v>
      </x:c>
    </x:row>
    <x:row r="224" ht="40.400001525878906" customHeight="1">
      <x:c r="A224" s="7" t="str">
        <x:v>S217</x:v>
      </x:c>
      <x:c r="B224" s="7" t="str">
        <x:v>SRC-38a27b55b4</x:v>
      </x:c>
      <x:c r="C224" s="7" t="str">
        <x:v>三豊市社協 令和4年度事業報告</x:v>
      </x:c>
      <x:c r="D224" s="7" t="str">
        <x:v>https://www.mitoyoshakyo.or.jp/archives/014/202306/%E4%BB%A4%E5%92%8C%EF%BC%94%E5%B9%B4%E5%BA%A6%E4%BA%8B%E6%A5%AD%E5%A0%B1%E5%91%8A%E6%9B%B8.pdf</x:v>
      </x:c>
      <x:c r="E224" s="7" t="str"/>
      <x:c r="F224" s="7" t="str">
        <x:v>印刷p.45（PDF p.47）17地域移動支援事業、登録・送迎・人員・事業費
PDF p47／印刷p45：登録51人・送迎5925回・5台・2022-06-06本格化</x:v>
      </x:c>
      <x:c r="G224" s="18" t="n">
        <x:v>46326</x:v>
      </x:c>
    </x:row>
    <x:row r="225" ht="40.400001525878906" customHeight="1">
      <x:c r="A225" s="7" t="str">
        <x:v>S218</x:v>
      </x:c>
      <x:c r="B225" s="7" t="str">
        <x:v>SRC-904a5fb434</x:v>
      </x:c>
      <x:c r="C225" s="7" t="str">
        <x:v>三豊市社協 令和5年度事業報告</x:v>
      </x:c>
      <x:c r="D225" s="7" t="str">
        <x:v>https://www.mitoyoshakyo.or.jp/archives/014/202407/%E2%98%85HP%E2%98%85R%EF%BC%95%E5%B9%B4%E5%BA%A6%E4%BA%8B%E6%A5%AD%E5%A0%B1%E5%91%8A%E6%9B%B8.pdf</x:v>
      </x:c>
      <x:c r="E225" s="7" t="str"/>
      <x:c r="F225" s="7" t="str">
        <x:v>印刷pp.43–44、17地域移動支援事業。送迎実績と登録人数の定義要確認
PDF p45–46／印刷p43–44：送迎人数増加と記し、登録90人・送迎3140回・10台</x:v>
      </x:c>
      <x:c r="G225" s="18" t="n">
        <x:v>46326</x:v>
      </x:c>
    </x:row>
    <x:row r="226" ht="40.400001525878906" customHeight="1">
      <x:c r="A226" s="7" t="str">
        <x:v>S219</x:v>
      </x:c>
      <x:c r="B226" s="7" t="str">
        <x:v>SRC-70a43f8cc7</x:v>
      </x:c>
      <x:c r="C226" s="7" t="str">
        <x:v>三豊市社協 令和6年度事業報告</x:v>
      </x:c>
      <x:c r="D226" s="7" t="str">
        <x:v>https://www.mitoyoshakyo.or.jp/archives/014/202506/R6%E5%B9%B4%E5%BA%A6%E4%BA%8B%E6%A5%AD%E5%A0%B1%E5%91%8A%E6%9B%B8.pdf</x:v>
      </x:c>
      <x:c r="E226" s="7" t="str"/>
      <x:c r="F226" s="7" t="str">
        <x:v>印刷p.45、16地域移動支援事業。送迎減少、新施設未参加、2025/3/31移管理由
PDF p47／印刷p45：送迎人数減少、登録104人・2955回、2025-03-31移管と記載</x:v>
      </x:c>
      <x:c r="G226" s="18" t="n">
        <x:v>46326</x:v>
      </x:c>
    </x:row>
    <x:row r="227" ht="40.400001525878906" customHeight="1">
      <x:c r="A227" s="7" t="str">
        <x:v>S220</x:v>
      </x:c>
      <x:c r="B227" s="7" t="str">
        <x:v>SRC-23e63440fd</x:v>
      </x:c>
      <x:c r="C227" s="7" t="str">
        <x:v>三豊市社協 令和6年度収支決算書</x:v>
      </x:c>
      <x:c r="D227" s="7" t="str">
        <x:v>https://www.mitoyoshakyo.or.jp/archives/014/202506/R6%E5%B9%B4%E5%BA%A6%E6%B1%BA%E7%AE%97%E6%9B%B8.pdf</x:v>
      </x:c>
      <x:c r="E227" s="7" t="str">
        <x:v>2025公表（URL年月による補助情報）</x:v>
      </x:c>
      <x:c r="F227" s="7" t="str">
        <x:v>印刷pp.28–29（PDF pp.30–31）資金収支、pp.40–41（PDF pp.42–43）事業活動、地域移動支援事業列
PDF p30–31資金収支、p42–43事業活動の地域移動支援列。p30/p42を画像目視</x:v>
      </x:c>
      <x:c r="G227" s="18" t="n">
        <x:v>46326</x:v>
      </x:c>
    </x:row>
    <x:row r="228" ht="30" customHeight="1">
      <x:c r="A228" s="7" t="str">
        <x:v>S221</x:v>
      </x:c>
      <x:c r="B228" s="7" t="str">
        <x:v>SRC-08ae54183f</x:v>
      </x:c>
      <x:c r="C228" s="7" t="str">
        <x:v>V2G実証の成果</x:v>
      </x:c>
      <x:c r="D228" s="7" t="str">
        <x:v>https://www.mitsubishi-motors.com/jp/newsroom/newsrelease/2019/20190226_1.html</x:v>
      </x:c>
      <x:c r="E228" s="7" t="str">
        <x:v>2019-02-26</x:v>
      </x:c>
      <x:c r="F228" s="7" t="str">
        <x:v>17台EV/PHEV、事業者構成</x:v>
      </x:c>
      <x:c r="G228" s="18" t="n">
        <x:v>46326</x:v>
      </x:c>
    </x:row>
    <x:row r="229" ht="30" customHeight="1">
      <x:c r="A229" s="7" t="str">
        <x:v>S222</x:v>
      </x:c>
      <x:c r="B229" s="7" t="str">
        <x:v>SRC-e1b1eeef61</x:v>
      </x:c>
      <x:c r="C229" s="7" t="str">
        <x:v>共創・MaaS等支援事業説明</x:v>
      </x:c>
      <x:c r="D229" s="7" t="str">
        <x:v>https://www.mlit.go.jp/2chiiki/files/nichiikisesaku_r6240501.pdf</x:v>
      </x:c>
      <x:c r="E229" s="7" t="str">
        <x:v>2024-05-01</x:v>
      </x:c>
      <x:c r="F229" s="7" t="str">
        <x:v>p9 2023補正279億円の内数、2023共創77件、共創・MaaS・人材3メニュー</x:v>
      </x:c>
      <x:c r="G229" s="18" t="n">
        <x:v>46326</x:v>
      </x:c>
    </x:row>
    <x:row r="230" ht="30" customHeight="1">
      <x:c r="A230" s="7" t="str">
        <x:v>S223</x:v>
      </x:c>
      <x:c r="B230" s="7" t="str">
        <x:v>SRC-f8a80a5792</x:v>
      </x:c>
      <x:c r="C230" s="7" t="str">
        <x:v>国土交通省自動運転戦略本部</x:v>
      </x:c>
      <x:c r="D230" s="7" t="str">
        <x:v>https://www.mlit.go.jp/common/001179600.pdf</x:v>
      </x:c>
      <x:c r="E230" s="7" t="str">
        <x:v>2016-12-09</x:v>
      </x:c>
      <x:c r="F230" s="7" t="str">
        <x:v>本部設置・取組一覧</x:v>
      </x:c>
      <x:c r="G230" s="18" t="n">
        <x:v>46326</x:v>
      </x:c>
    </x:row>
    <x:row r="231" ht="30" customHeight="1">
      <x:c r="A231" s="7" t="str">
        <x:v>S224</x:v>
      </x:c>
      <x:c r="B231" s="7" t="str">
        <x:v>SRC-449f8104ca</x:v>
      </x:c>
      <x:c r="C231" s="7" t="str">
        <x:v>ラストマイル自動運転の取組</x:v>
      </x:c>
      <x:c r="D231" s="7" t="str">
        <x:v>https://www.mlit.go.jp/common/001263901.pdf</x:v>
      </x:c>
      <x:c r="E231" s="7" t="str"/>
      <x:c r="F231" s="7" t="str">
        <x:v>PDF p.10付近、輪島2017/12・北谷2018/2・永平寺2018/4・日立2018/10</x:v>
      </x:c>
      <x:c r="G231" s="18" t="n">
        <x:v>46326</x:v>
      </x:c>
    </x:row>
    <x:row r="232" ht="30" customHeight="1">
      <x:c r="A232" s="7" t="str">
        <x:v>S225</x:v>
      </x:c>
      <x:c r="B232" s="7" t="str">
        <x:v>SRC-8a19cf209a</x:v>
      </x:c>
      <x:c r="C232" s="7" t="str">
        <x:v>平成30年度 CO2排出量削減に資する過疎地域等における無人航空機配送実用化推進調査</x:v>
      </x:c>
      <x:c r="D232" s="7" t="str">
        <x:v>https://www.mlit.go.jp/common/001289661.pdf</x:v>
      </x:c>
      <x:c r="E232" s="7" t="str">
        <x:v>2019-03</x:v>
      </x:c>
      <x:c r="F232" s="7" t="str">
        <x:v>環境省委託、国交省掲載。本文p129各地域、p136–140算定前提と費用</x:v>
      </x:c>
      <x:c r="G232" s="18" t="n">
        <x:v>46326</x:v>
      </x:c>
    </x:row>
    <x:row r="233" ht="30" customHeight="1">
      <x:c r="A233" s="7" t="str">
        <x:v>S226</x:v>
      </x:c>
      <x:c r="B233" s="7" t="str">
        <x:v>SRC-483339b494</x:v>
      </x:c>
      <x:c r="C233" s="7" t="str">
        <x:v>スマートモビリティチャレンジ支援対象選定</x:v>
      </x:c>
      <x:c r="D233" s="7" t="str">
        <x:v>https://www.mlit.go.jp/common/001294739.pdf</x:v>
      </x:c>
      <x:c r="E233" s="7" t="str">
        <x:v>2019-06-18</x:v>
      </x:c>
      <x:c r="F233" s="7" t="str">
        <x:v>両省合計28地域・事業。経産省単独母数と別</x:v>
      </x:c>
      <x:c r="G233" s="18" t="n">
        <x:v>46326</x:v>
      </x:c>
    </x:row>
    <x:row r="234" ht="30" customHeight="1">
      <x:c r="A234" s="7" t="str">
        <x:v>S227</x:v>
      </x:c>
      <x:c r="B234" s="7" t="str">
        <x:v>SRC-97183ed106</x:v>
      </x:c>
      <x:c r="C234" s="7" t="str">
        <x:v>半島の交通を考える～伊豆半島下田市の実証実験～</x:v>
      </x:c>
      <x:c r="D234" s="7" t="str">
        <x:v>https://www.mlit.go.jp/common/001334283.pdf</x:v>
      </x:c>
      <x:c r="E234" s="7" t="str"/>
      <x:c r="F234" s="7" t="str">
        <x:v>Phase1アプリDL多いが購入伸びず→Phase2ウェブ化</x:v>
      </x:c>
      <x:c r="G234" s="18" t="n">
        <x:v>46326</x:v>
      </x:c>
    </x:row>
    <x:row r="235" ht="30" customHeight="1">
      <x:c r="A235" s="7" t="str">
        <x:v>S228</x:v>
      </x:c>
      <x:c r="B235" s="7" t="str">
        <x:v>SRC-9a1a182711</x:v>
      </x:c>
      <x:c r="C235" s="7" t="str">
        <x:v>永平寺町L4事故と改善対応</x:v>
      </x:c>
      <x:c r="D235" s="7" t="str">
        <x:v>https://www.mlit.go.jp/jidosha/content/001745506.pdf</x:v>
      </x:c>
      <x:c r="E235" s="7" t="str">
        <x:v>2024-06</x:v>
      </x:c>
      <x:c r="F235" s="7" t="str">
        <x:v>資料内p90：2023-10-29接触、2024-03-16再開</x:v>
      </x:c>
      <x:c r="G235" s="18" t="n">
        <x:v>46326</x:v>
      </x:c>
    </x:row>
    <x:row r="236" ht="30" customHeight="1">
      <x:c r="A236" s="7" t="str">
        <x:v>S229</x:v>
      </x:c>
      <x:c r="B236" s="7" t="str">
        <x:v>SRC-52977fc627</x:v>
      </x:c>
      <x:c r="C236" s="7" t="str">
        <x:v>自動運転社会実装に関する事業</x:v>
      </x:c>
      <x:c r="D236" s="7" t="str">
        <x:v>https://www.mlit.go.jp/jidosha/jidosha_fr7_000066.html</x:v>
      </x:c>
      <x:c r="E236" s="7" t="str"/>
      <x:c r="F236" s="7" t="str">
        <x:v>令和4～8年度の採択、自治体概要、報告書等</x:v>
      </x:c>
      <x:c r="G236" s="18" t="n">
        <x:v>46326</x:v>
      </x:c>
    </x:row>
    <x:row r="237" ht="30" customHeight="1">
      <x:c r="A237" s="7" t="str">
        <x:v>S230</x:v>
      </x:c>
      <x:c r="B237" s="7" t="str">
        <x:v>SRC-43225c1e53</x:v>
      </x:c>
      <x:c r="C237" s="7" t="str">
        <x:v>第17回 空港制限区域内自動走行実現検討委員会</x:v>
      </x:c>
      <x:c r="D237" s="7" t="str">
        <x:v>https://www.mlit.go.jp/koku/koku_tk9_000103.html</x:v>
      </x:c>
      <x:c r="E237" s="7" t="str"/>
      <x:c r="F237" s="7" t="str">
        <x:v>各社実証報告・走行ガイダンス</x:v>
      </x:c>
      <x:c r="G237" s="18" t="n">
        <x:v>46326</x:v>
      </x:c>
    </x:row>
    <x:row r="238" ht="30" customHeight="1">
      <x:c r="A238" s="7" t="str">
        <x:v>S231</x:v>
      </x:c>
      <x:c r="B238" s="7" t="str">
        <x:v>SRC-9f9e8dec7d</x:v>
      </x:c>
      <x:c r="C238" s="7" t="str">
        <x:v>令和4年度港湾局関係予算概要</x:v>
      </x:c>
      <x:c r="D238" s="7" t="str">
        <x:v>https://www.mlit.go.jp/kowan/content/001499199.pdf</x:v>
      </x:c>
      <x:c r="E238" s="7" t="str">
        <x:v>2022-01</x:v>
      </x:c>
      <x:c r="F238" s="7" t="str">
        <x:v>2021-04～横浜港南本牧CONPAS本格運用開始</x:v>
      </x:c>
      <x:c r="G238" s="18" t="n">
        <x:v>46326</x:v>
      </x:c>
    </x:row>
    <x:row r="239" ht="30" customHeight="1">
      <x:c r="A239" s="7" t="str">
        <x:v>S232</x:v>
      </x:c>
      <x:c r="B239" s="7" t="str">
        <x:v>SRC-717c24acf5</x:v>
      </x:c>
      <x:c r="C239" s="7" t="str">
        <x:v>自動運航船の実用化へ向けた取組</x:v>
      </x:c>
      <x:c r="D239" s="7" t="str">
        <x:v>https://www.mlit.go.jp/maritime/maritime_fr7_000041.html</x:v>
      </x:c>
      <x:c r="E239" s="7" t="str"/>
      <x:c r="F239" s="7" t="str">
        <x:v>2018ロードマップ・3要素技術実証開始</x:v>
      </x:c>
      <x:c r="G239" s="18" t="n">
        <x:v>46326</x:v>
      </x:c>
    </x:row>
    <x:row r="240" ht="30" customHeight="1">
      <x:c r="A240" s="7" t="str">
        <x:v>S233</x:v>
      </x:c>
      <x:c r="B240" s="7" t="str">
        <x:v>SRC-86a449631b</x:v>
      </x:c>
      <x:c r="C240" s="7" t="str">
        <x:v>自動運航船安全基準・検査WG</x:v>
      </x:c>
      <x:c r="D240" s="7" t="str">
        <x:v>https://www.mlit.go.jp/maritime/maritime_fr7_000047.html</x:v>
      </x:c>
      <x:c r="E240" s="7" t="str"/>
      <x:c r="F240" s="7" t="str">
        <x:v>2024-06検討会開始、2030頃本格商用目標</x:v>
      </x:c>
      <x:c r="G240" s="18" t="n">
        <x:v>46326</x:v>
      </x:c>
    </x:row>
    <x:row r="241" ht="30" customHeight="1">
      <x:c r="A241" s="7" t="str">
        <x:v>S234</x:v>
      </x:c>
      <x:c r="B241" s="7" t="str">
        <x:v>SRC-a460687a1d</x:v>
      </x:c>
      <x:c r="C241" s="7" t="str">
        <x:v>自動運転社会実装推進事業の取組</x:v>
      </x:c>
      <x:c r="D241" s="7" t="str">
        <x:v>https://www.mlit.go.jp/policy/shingikai/content/001976226.pdf</x:v>
      </x:c>
      <x:c r="E241" s="7" t="str">
        <x:v>2025</x:v>
      </x:c>
      <x:c r="F241" s="7" t="str">
        <x:v>67自治体、補助率4/5、重点上限3億円／一般1億円</x:v>
      </x:c>
      <x:c r="G241" s="18" t="n">
        <x:v>46326</x:v>
      </x:c>
    </x:row>
    <x:row r="242" ht="30" customHeight="1">
      <x:c r="A242" s="7" t="str">
        <x:v>S235</x:v>
      </x:c>
      <x:c r="B242" s="7" t="str">
        <x:v>SRC-7430389713</x:v>
      </x:c>
      <x:c r="C242" s="7" t="str">
        <x:v>国土交通大臣会見</x:v>
      </x:c>
      <x:c r="D242" s="7" t="str">
        <x:v>https://www.mlit.go.jp/report/interview/daijin231031.html</x:v>
      </x:c>
      <x:c r="E242" s="7" t="str">
        <x:v>2023-10-31</x:v>
      </x:c>
      <x:c r="F242" s="7" t="str">
        <x:v>永平寺の10月29日接触・運休</x:v>
      </x:c>
      <x:c r="G242" s="18" t="n">
        <x:v>46326</x:v>
      </x:c>
    </x:row>
    <x:row r="243" ht="30" customHeight="1">
      <x:c r="A243" s="7" t="str">
        <x:v>S236</x:v>
      </x:c>
      <x:c r="B243" s="7" t="str">
        <x:v>SRC-9b4076dfc2</x:v>
      </x:c>
      <x:c r="C243" s="7" t="str">
        <x:v>令和6年度自動運転社会実装推進事業 選定結果</x:v>
      </x:c>
      <x:c r="D243" s="7" t="str">
        <x:v>https://www.mlit.go.jp/report/press/content/001747045.pdf</x:v>
      </x:c>
      <x:c r="E243" s="7" t="str">
        <x:v>2024-06-07</x:v>
      </x:c>
      <x:c r="F243" s="7" t="str">
        <x:v>99自治体、47都道府県</x:v>
      </x:c>
      <x:c r="G243" s="18" t="n">
        <x:v>46326</x:v>
      </x:c>
    </x:row>
    <x:row r="244" ht="30" customHeight="1">
      <x:c r="A244" s="7" t="str">
        <x:v>S237</x:v>
      </x:c>
      <x:c r="B244" s="7" t="str">
        <x:v>SRC-27ace55ff4</x:v>
      </x:c>
      <x:c r="C244" s="7" t="str">
        <x:v>新東名高速道路 自動運転車優先レーンを設定</x:v>
      </x:c>
      <x:c r="D244" s="7" t="str">
        <x:v>https://www.mlit.go.jp/report/press/content/001861145.pdf</x:v>
      </x:c>
      <x:c r="E244" s="7" t="str">
        <x:v>2025-03-03</x:v>
      </x:c>
      <x:c r="F244" s="7" t="str">
        <x:v>駿河湾沼津SA～浜松SA、平日22～翌5時、L4トラック実証環境</x:v>
      </x:c>
      <x:c r="G244" s="18" t="n">
        <x:v>46326</x:v>
      </x:c>
    </x:row>
    <x:row r="245" ht="30" customHeight="1">
      <x:c r="A245" s="7" t="str">
        <x:v>S238</x:v>
      </x:c>
      <x:c r="B245" s="7" t="str">
        <x:v>SRC-0120c48f5e</x:v>
      </x:c>
      <x:c r="C245" s="7" t="str">
        <x:v>COMmmmONS 標準仕様等一覧</x:v>
      </x:c>
      <x:c r="D245" s="7" t="str">
        <x:v>https://www.mlit.go.jp/report/press/content/001992826.pdf</x:v>
      </x:c>
      <x:c r="E245" s="7" t="str">
        <x:v>2026-03-31</x:v>
      </x:c>
      <x:c r="F245" s="7" t="str">
        <x:v>p2 13仕様・OSS等：API、GTFS-JP v4、業務等</x:v>
      </x:c>
      <x:c r="G245" s="18" t="n">
        <x:v>46326</x:v>
      </x:c>
    </x:row>
    <x:row r="246" ht="30" customHeight="1">
      <x:c r="A246" s="7" t="str">
        <x:v>S239</x:v>
      </x:c>
      <x:c r="B246" s="7" t="str">
        <x:v>SRC-2a526f74ad</x:v>
      </x:c>
      <x:c r="C246" s="7" t="str">
        <x:v>令和8年度COMmmmONS 事業者選定結果</x:v>
      </x:c>
      <x:c r="D246" s="7" t="str">
        <x:v>https://www.mlit.go.jp/report/press/content/001992827.pdf</x:v>
      </x:c>
      <x:c r="E246" s="7" t="str">
        <x:v>2026-03-31</x:v>
      </x:c>
      <x:c r="F246" s="7" t="str">
        <x:v>20事業・事業者（選定であって実装完了ではない）</x:v>
      </x:c>
      <x:c r="G246" s="18" t="n">
        <x:v>46326</x:v>
      </x:c>
    </x:row>
    <x:row r="247" ht="30" customHeight="1">
      <x:c r="A247" s="7" t="str">
        <x:v>S240</x:v>
      </x:c>
      <x:c r="B247" s="7" t="str">
        <x:v>SRC-cec4fe6799</x:v>
      </x:c>
      <x:c r="C247" s="7" t="str">
        <x:v>貨客混載の導入を促進します</x:v>
      </x:c>
      <x:c r="D247" s="7" t="str">
        <x:v>https://www.mlit.go.jp/report/press/jidosha04_hh_000134.html</x:v>
      </x:c>
      <x:c r="E247" s="7" t="str">
        <x:v>2017-06-30</x:v>
      </x:c>
      <x:c r="F247" s="7" t="str">
        <x:v>2017-09-01制度運用変更の説明（当時）</x:v>
      </x:c>
      <x:c r="G247" s="18" t="n">
        <x:v>46326</x:v>
      </x:c>
    </x:row>
    <x:row r="248" ht="30" customHeight="1">
      <x:c r="A248" s="7" t="str">
        <x:v>S241</x:v>
      </x:c>
      <x:c r="B248" s="7" t="str">
        <x:v>SRC-c5593d93c5</x:v>
      </x:c>
      <x:c r="C248" s="7" t="str">
        <x:v>後続車有人システムの実証実験開始</x:v>
      </x:c>
      <x:c r="D248" s="7" t="str">
        <x:v>https://www.mlit.go.jp/report/press/jidosha07_hh_000286.html</x:v>
      </x:c>
      <x:c r="E248" s="7" t="str">
        <x:v>2018-10-17</x:v>
      </x:c>
      <x:c r="F248" s="7" t="str">
        <x:v>実験日・2020～2022年の当時目標</x:v>
      </x:c>
      <x:c r="G248" s="18" t="n">
        <x:v>46326</x:v>
      </x:c>
    </x:row>
    <x:row r="249" ht="30" customHeight="1">
      <x:c r="A249" s="7" t="str">
        <x:v>S242</x:v>
      </x:c>
      <x:c r="B249" s="7" t="str">
        <x:v>SRC-7e76d92669</x:v>
      </x:c>
      <x:c r="C249" s="7" t="str">
        <x:v>国内初！運転者を配置しないレベル4移動サービス開始</x:v>
      </x:c>
      <x:c r="D249" s="7" t="str">
        <x:v>https://www.mlit.go.jp/report/press/jidosha07_hh_000448.html</x:v>
      </x:c>
      <x:c r="E249" s="7" t="str">
        <x:v>2023-05</x:v>
      </x:c>
      <x:c r="F249" s="7" t="str">
        <x:v>本文：2023-05-21サービス開始</x:v>
      </x:c>
      <x:c r="G249" s="18" t="n">
        <x:v>46326</x:v>
      </x:c>
    </x:row>
    <x:row r="250" ht="30" customHeight="1">
      <x:c r="A250" s="7" t="str">
        <x:v>S243</x:v>
      </x:c>
      <x:c r="B250" s="7" t="str">
        <x:v>SRC-01ddef8dc0</x:v>
      </x:c>
      <x:c r="C250" s="7" t="str">
        <x:v>令和8年度自動運転社会実装推進事業 交付決定</x:v>
      </x:c>
      <x:c r="D250" s="7" t="str">
        <x:v>https://www.mlit.go.jp/report/press/jidosha07_hh_000569.html</x:v>
      </x:c>
      <x:c r="E250" s="7" t="str">
        <x:v>2026-08-21</x:v>
      </x:c>
      <x:c r="F250" s="7" t="str">
        <x:v>37件＝重点5＋一般32、FY2027までのL4計画</x:v>
      </x:c>
      <x:c r="G250" s="18" t="n">
        <x:v>46326</x:v>
      </x:c>
    </x:row>
    <x:row r="251" ht="30" customHeight="1">
      <x:c r="A251" s="7" t="str">
        <x:v>S244</x:v>
      </x:c>
      <x:c r="B251" s="7" t="str">
        <x:v>SRC-25f967230a</x:v>
      </x:c>
      <x:c r="C251" s="7" t="str">
        <x:v>道の駅等を活用した宅配便再配達削減実験</x:v>
      </x:c>
      <x:c r="D251" s="7" t="str">
        <x:v>https://www.mlit.go.jp/report/press/road01_hh_000755.html</x:v>
      </x:c>
      <x:c r="E251" s="7" t="str">
        <x:v>2016-10-13</x:v>
      </x:c>
      <x:c r="F251" s="7" t="str">
        <x:v>2016-10-24道の駅庄和で開始</x:v>
      </x:c>
      <x:c r="G251" s="18" t="n">
        <x:v>46326</x:v>
      </x:c>
    </x:row>
    <x:row r="252" ht="40.400001525878906" customHeight="1">
      <x:c r="A252" s="7" t="str">
        <x:v>S245</x:v>
      </x:c>
      <x:c r="B252" s="7" t="str">
        <x:v>SRC-d434c18491</x:v>
      </x:c>
      <x:c r="C252" s="7" t="str">
        <x:v>道の駅かみこあにで自動運転サービスの本格導入</x:v>
      </x:c>
      <x:c r="D252" s="7" t="str">
        <x:v>https://www.mlit.go.jp/report/press/road01_hh_001258.html</x:v>
      </x:c>
      <x:c r="E252" s="7" t="str">
        <x:v>2019-11-22
2019-11</x:v>
      </x:c>
      <x:c r="F252" s="7" t="str">
        <x:v>11月30日開始、全国18箇所実証から初の本格導入
2019-11-30開始、SIP2環境整備プロジェクト・国交省道路局</x:v>
      </x:c>
      <x:c r="G252" s="18" t="n">
        <x:v>46326</x:v>
      </x:c>
    </x:row>
    <x:row r="253" ht="30" customHeight="1">
      <x:c r="A253" s="7" t="str">
        <x:v>S246</x:v>
      </x:c>
      <x:c r="B253" s="7" t="str">
        <x:v>SRC-b090aec4fc</x:v>
      </x:c>
      <x:c r="C253" s="7" t="str">
        <x:v>共創による地域交通形成支援事業 モデル実証プロジェクト15件を選定</x:v>
      </x:c>
      <x:c r="D253" s="7" t="str">
        <x:v>https://www.mlit.go.jp/report/press/sogo12_hh_000270.html</x:v>
      </x:c>
      <x:c r="E253" s="7" t="str">
        <x:v>2022-06-30</x:v>
      </x:c>
      <x:c r="F253" s="7" t="str">
        <x:v>初年度モデル15件</x:v>
      </x:c>
      <x:c r="G253" s="18" t="n">
        <x:v>46326</x:v>
      </x:c>
    </x:row>
    <x:row r="254" ht="30" customHeight="1">
      <x:c r="A254" s="7" t="str">
        <x:v>S247</x:v>
      </x:c>
      <x:c r="B254" s="7" t="str">
        <x:v>SRC-1cf61fd376</x:v>
      </x:c>
      <x:c r="C254" s="7" t="str">
        <x:v>地域交通DX推進プロジェクトCOMmmmONS始動</x:v>
      </x:c>
      <x:c r="D254" s="7" t="str">
        <x:v>https://www.mlit.go.jp/report/press/sogo12_hh_000454.html</x:v>
      </x:c>
      <x:c r="E254" s="7" t="str">
        <x:v>2025-06-27</x:v>
      </x:c>
      <x:c r="F254" s="7" t="str">
        <x:v>国交省、4柱・サイロ化課題・標準化横展開</x:v>
      </x:c>
      <x:c r="G254" s="18" t="n">
        <x:v>46326</x:v>
      </x:c>
    </x:row>
    <x:row r="255" ht="30" customHeight="1">
      <x:c r="A255" s="7" t="str">
        <x:v>S248</x:v>
      </x:c>
      <x:c r="B255" s="7" t="str">
        <x:v>SRC-e3caafad86</x:v>
      </x:c>
      <x:c r="C255" s="7" t="str">
        <x:v>COMmmmONS 13件の標準仕様等を公表</x:v>
      </x:c>
      <x:c r="D255" s="7" t="str">
        <x:v>https://www.mlit.go.jp/report/press/sogo12_hh_000511.html</x:v>
      </x:c>
      <x:c r="E255" s="7" t="str">
        <x:v>2026-03-31</x:v>
      </x:c>
      <x:c r="F255" s="7" t="str">
        <x:v>2025開始、アプリ・データ・業務のサイロ化、2026継続</x:v>
      </x:c>
      <x:c r="G255" s="18" t="n">
        <x:v>46326</x:v>
      </x:c>
    </x:row>
    <x:row r="256" ht="30" customHeight="1">
      <x:c r="A256" s="7" t="str">
        <x:v>S249</x:v>
      </x:c>
      <x:c r="B256" s="7" t="str">
        <x:v>SRC-575495076f</x:v>
      </x:c>
      <x:c r="C256" s="7" t="str">
        <x:v>鉄道における自動運転技術検討会とりまとめ</x:v>
      </x:c>
      <x:c r="D256" s="7" t="str">
        <x:v>https://www.mlit.go.jp/report/press/tetsudo07_hh_000229.html</x:v>
      </x:c>
      <x:c r="E256" s="7" t="str">
        <x:v>2022-09-13</x:v>
      </x:c>
      <x:c r="F256" s="7" t="str">
        <x:v>GoA2.5/3/4の要件・係員役割の基本的考え方</x:v>
      </x:c>
      <x:c r="G256" s="18" t="n">
        <x:v>46326</x:v>
      </x:c>
    </x:row>
    <x:row r="257" ht="30" customHeight="1">
      <x:c r="A257" s="7" t="str">
        <x:v>S250</x:v>
      </x:c>
      <x:c r="B257" s="7" t="str">
        <x:v>SRC-1be1fcb435</x:v>
      </x:c>
      <x:c r="C257" s="7" t="str">
        <x:v>宮崎県西米良村で貨客混載による共同輸送開始</x:v>
      </x:c>
      <x:c r="D257" s="7" t="str">
        <x:v>https://www.mlit.go.jp/report/press/tokatsu01_hh_000373.html</x:v>
      </x:c>
      <x:c r="E257" s="7" t="str">
        <x:v>2018-02-20</x:v>
      </x:c>
      <x:c r="F257" s="7" t="str">
        <x:v>宮崎交通・ヤマト・日本郵便／年間CO2・運転時間削減は見込み</x:v>
      </x:c>
      <x:c r="G257" s="18" t="n">
        <x:v>46326</x:v>
      </x:c>
    </x:row>
    <x:row r="258" ht="30" customHeight="1">
      <x:c r="A258" s="7" t="str">
        <x:v>S251</x:v>
      </x:c>
      <x:c r="B258" s="7" t="str">
        <x:v>SRC-f9fb175705</x:v>
      </x:c>
      <x:c r="C258" s="7" t="str">
        <x:v>自動運転トラックを活用した幹線輸送システムの実装に向けた実証事業交付決定</x:v>
      </x:c>
      <x:c r="D258" s="7" t="str">
        <x:v>https://www.mlit.go.jp/report/press/tokatsu01_hh_000949.html</x:v>
      </x:c>
      <x:c r="E258" s="7" t="str">
        <x:v>2025-10-10</x:v>
      </x:c>
      <x:c r="F258" s="7" t="str">
        <x:v>4件合計444百万円、実証・拠点・システム整備</x:v>
      </x:c>
      <x:c r="G258" s="18" t="n">
        <x:v>46326</x:v>
      </x:c>
    </x:row>
    <x:row r="259" ht="30" customHeight="1">
      <x:c r="A259" s="7" t="str">
        <x:v>S252</x:v>
      </x:c>
      <x:c r="B259" s="7" t="str">
        <x:v>SRC-94db9792b7</x:v>
      </x:c>
      <x:c r="C259" s="7" t="str">
        <x:v>スマートシティモデル事業 先行モデルプロジェクト等の選定</x:v>
      </x:c>
      <x:c r="D259" s="7" t="str">
        <x:v>https://www.mlit.go.jp/report/press/toshi07_hh_000139.html</x:v>
      </x:c>
      <x:c r="E259" s="7" t="str">
        <x:v>2019-05-31</x:v>
      </x:c>
      <x:c r="F259" s="7" t="str">
        <x:v>73提案から先行15、重点23、パートナー71（重複あり）</x:v>
      </x:c>
      <x:c r="G259" s="18" t="n">
        <x:v>46326</x:v>
      </x:c>
    </x:row>
    <x:row r="260" ht="30" customHeight="1">
      <x:c r="A260" s="7" t="str">
        <x:v>S253</x:v>
      </x:c>
      <x:c r="B260" s="7" t="str">
        <x:v>SRC-e7c4fe10e7</x:v>
      </x:c>
      <x:c r="C260" s="7" t="str">
        <x:v>未来技術社会実装事業連携 自動運転サービス導入支援 継続決定</x:v>
      </x:c>
      <x:c r="D260" s="7" t="str">
        <x:v>https://www.mlit.go.jp/road/ITS/j-html/automatic-driving-service_r4.html</x:v>
      </x:c>
      <x:c r="E260" s="7" t="str">
        <x:v>2024-12-18</x:v>
      </x:c>
      <x:c r="F260" s="7" t="str">
        <x:v>2022選定の常陸太田・塩尻・宇陀を2027-03-31まで継続</x:v>
      </x:c>
      <x:c r="G260" s="18" t="n">
        <x:v>46326</x:v>
      </x:c>
    </x:row>
    <x:row r="261" ht="30" customHeight="1">
      <x:c r="A261" s="7" t="str">
        <x:v>S254</x:v>
      </x:c>
      <x:c r="B261" s="7" t="str">
        <x:v>SRC-4b64509089</x:v>
      </x:c>
      <x:c r="C261" s="7" t="str">
        <x:v>シェアサイクルの普及促進</x:v>
      </x:c>
      <x:c r="D261" s="7" t="str">
        <x:v>https://www.mlit.go.jp/road/bicycleuse/share-cycle/</x:v>
      </x:c>
      <x:c r="E261" s="7" t="str"/>
      <x:c r="F261" s="7" t="str">
        <x:v>2021税制措置・2023-09導入運営ガイドライン、配置・官民役割</x:v>
      </x:c>
      <x:c r="G261" s="18" t="n">
        <x:v>46326</x:v>
      </x:c>
    </x:row>
    <x:row r="262" ht="30" customHeight="1">
      <x:c r="A262" s="7" t="str">
        <x:v>S255</x:v>
      </x:c>
      <x:c r="B262" s="7" t="str">
        <x:v>SRC-a23526fc00</x:v>
      </x:c>
      <x:c r="C262" s="7" t="str">
        <x:v>官民ITS構想・ロードマップ2018 抜粋</x:v>
      </x:c>
      <x:c r="D262" s="7" t="str">
        <x:v>https://www.mlit.go.jp/road/ir/ir-council/nls/pdf01/12.pdf</x:v>
      </x:c>
      <x:c r="E262" s="7" t="str">
        <x:v>2018-06-15</x:v>
      </x:c>
      <x:c r="F262" s="7" t="str">
        <x:v>物流サービス・隊列走行の実現</x:v>
      </x:c>
      <x:c r="G262" s="18" t="n">
        <x:v>46326</x:v>
      </x:c>
    </x:row>
    <x:row r="263" ht="30" customHeight="1">
      <x:c r="A263" s="7" t="str">
        <x:v>S256</x:v>
      </x:c>
      <x:c r="B263" s="7" t="str">
        <x:v>SRC-f40220283e</x:v>
      </x:c>
      <x:c r="C263" s="7" t="str">
        <x:v>スマートシティ官民連携プラットフォームセミナー</x:v>
      </x:c>
      <x:c r="D263" s="7" t="str">
        <x:v>https://www.mlit.go.jp/scpf/archives/docs/event_seminar220316_all.pdf</x:v>
      </x:c>
      <x:c r="E263" s="7" t="str">
        <x:v>2022-03-16</x:v>
      </x:c>
      <x:c r="F263" s="7" t="str">
        <x:v>デジタル庁2022-02-14参加、5府省事務局</x:v>
      </x:c>
      <x:c r="G263" s="18" t="n">
        <x:v>46326</x:v>
      </x:c>
    </x:row>
    <x:row r="264" ht="30" customHeight="1">
      <x:c r="A264" s="7" t="str">
        <x:v>S257</x:v>
      </x:c>
      <x:c r="B264" s="7" t="str">
        <x:v>SRC-0468ffa389</x:v>
      </x:c>
      <x:c r="C264" s="7" t="str">
        <x:v>ドローン物流</x:v>
      </x:c>
      <x:c r="D264" s="7" t="str">
        <x:v>https://www.mlit.go.jp/seisakutokatsu/freight/seisakutokatsu_tk_000024.html</x:v>
      </x:c>
      <x:c r="E264" s="7" t="str"/>
      <x:c r="F264" s="7" t="str">
        <x:v>各年度実証・ガイドライン・報告書入口</x:v>
      </x:c>
      <x:c r="G264" s="18" t="n">
        <x:v>46326</x:v>
      </x:c>
    </x:row>
    <x:row r="265" ht="30" customHeight="1">
      <x:c r="A265" s="7" t="str">
        <x:v>S258</x:v>
      </x:c>
      <x:c r="B265" s="7" t="str">
        <x:v>SRC-cab746b9fe</x:v>
      </x:c>
      <x:c r="C265" s="7" t="str">
        <x:v>グリーンスローモビリティ</x:v>
      </x:c>
      <x:c r="D265" s="7" t="str">
        <x:v>https://www.mlit.go.jp/sogoseisaku/environment/sosei_environment_fr_000152.html</x:v>
      </x:c>
      <x:c r="E265" s="7" t="str"/>
      <x:c r="F265" s="7" t="str">
        <x:v>実証調査事業は2018～2021年度、年度別成果</x:v>
      </x:c>
      <x:c r="G265" s="18" t="n">
        <x:v>46326</x:v>
      </x:c>
    </x:row>
    <x:row r="266" ht="30" customHeight="1">
      <x:c r="A266" s="7" t="str">
        <x:v>S259</x:v>
      </x:c>
      <x:c r="B266" s="7" t="str">
        <x:v>SRC-311a30ee58</x:v>
      </x:c>
      <x:c r="C266" s="7" t="str">
        <x:v>令和6年度日本版MaaS 実績報告：universal</x:v>
      </x:c>
      <x:c r="D266" s="7" t="str">
        <x:v>https://www.mlit.go.jp/sogoseisaku/transport/content/001891586.pdf</x:v>
      </x:c>
      <x:c r="E266" s="7" t="str">
        <x:v>FY2024</x:v>
      </x:c>
      <x:c r="F266" s="7" t="str">
        <x:v>1頁、事業概要・成果・課題欄</x:v>
      </x:c>
      <x:c r="G266" s="18" t="n">
        <x:v>46326</x:v>
      </x:c>
    </x:row>
    <x:row r="267" ht="30" customHeight="1">
      <x:c r="A267" s="7" t="str">
        <x:v>S260</x:v>
      </x:c>
      <x:c r="B267" s="7" t="str">
        <x:v>SRC-bf30df8e3d</x:v>
      </x:c>
      <x:c r="C267" s="7" t="str">
        <x:v>令和6年度日本版MaaS 実績報告：gunma</x:v>
      </x:c>
      <x:c r="D267" s="7" t="str">
        <x:v>https://www.mlit.go.jp/sogoseisaku/transport/content/001891587.pdf</x:v>
      </x:c>
      <x:c r="E267" s="7" t="str">
        <x:v>FY2024</x:v>
      </x:c>
      <x:c r="F267" s="7" t="str">
        <x:v>1頁、事業概要・成果・課題欄</x:v>
      </x:c>
      <x:c r="G267" s="18" t="n">
        <x:v>46326</x:v>
      </x:c>
    </x:row>
    <x:row r="268" ht="30" customHeight="1">
      <x:c r="A268" s="7" t="str">
        <x:v>S261</x:v>
      </x:c>
      <x:c r="B268" s="7" t="str">
        <x:v>SRC-4ccec8e791</x:v>
      </x:c>
      <x:c r="C268" s="7" t="str">
        <x:v>令和6年度日本版MaaS 実績報告：maebashi</x:v>
      </x:c>
      <x:c r="D268" s="7" t="str">
        <x:v>https://www.mlit.go.jp/sogoseisaku/transport/content/001891588.pdf</x:v>
      </x:c>
      <x:c r="E268" s="7" t="str">
        <x:v>FY2024</x:v>
      </x:c>
      <x:c r="F268" s="7" t="str">
        <x:v>1頁、事業概要・成果・課題欄</x:v>
      </x:c>
      <x:c r="G268" s="18" t="n">
        <x:v>46326</x:v>
      </x:c>
    </x:row>
    <x:row r="269" ht="30" customHeight="1">
      <x:c r="A269" s="7" t="str">
        <x:v>S262</x:v>
      </x:c>
      <x:c r="B269" s="7" t="str">
        <x:v>SRC-2167af436c</x:v>
      </x:c>
      <x:c r="C269" s="7" t="str">
        <x:v>令和6年度日本版MaaS 実績報告：shibukawa</x:v>
      </x:c>
      <x:c r="D269" s="7" t="str">
        <x:v>https://www.mlit.go.jp/sogoseisaku/transport/content/001891589.pdf</x:v>
      </x:c>
      <x:c r="E269" s="7" t="str">
        <x:v>FY2024</x:v>
      </x:c>
      <x:c r="F269" s="7" t="str">
        <x:v>1頁、事業概要・成果・課題欄</x:v>
      </x:c>
      <x:c r="G269" s="18" t="n">
        <x:v>46326</x:v>
      </x:c>
    </x:row>
    <x:row r="270" ht="30" customHeight="1">
      <x:c r="A270" s="7" t="str">
        <x:v>S263</x:v>
      </x:c>
      <x:c r="B270" s="7" t="str">
        <x:v>SRC-1e75c72403</x:v>
      </x:c>
      <x:c r="C270" s="7" t="str">
        <x:v>令和6年度日本版MaaS 実績報告：gunmadata</x:v>
      </x:c>
      <x:c r="D270" s="7" t="str">
        <x:v>https://www.mlit.go.jp/sogoseisaku/transport/content/001891590.pdf</x:v>
      </x:c>
      <x:c r="E270" s="7" t="str">
        <x:v>FY2024</x:v>
      </x:c>
      <x:c r="F270" s="7" t="str">
        <x:v>1頁、事業概要・成果・課題欄</x:v>
      </x:c>
      <x:c r="G270" s="18" t="n">
        <x:v>46326</x:v>
      </x:c>
    </x:row>
    <x:row r="271" ht="30" customHeight="1">
      <x:c r="A271" s="7" t="str">
        <x:v>S264</x:v>
      </x:c>
      <x:c r="B271" s="7" t="str">
        <x:v>SRC-9dd27904e8</x:v>
      </x:c>
      <x:c r="C271" s="7" t="str">
        <x:v>令和6年度日本版MaaS 実績報告：miura</x:v>
      </x:c>
      <x:c r="D271" s="7" t="str">
        <x:v>https://www.mlit.go.jp/sogoseisaku/transport/content/001891592.pdf</x:v>
      </x:c>
      <x:c r="E271" s="7" t="str">
        <x:v>FY2024</x:v>
      </x:c>
      <x:c r="F271" s="7" t="str">
        <x:v>1頁、事業概要・成果・課題欄</x:v>
      </x:c>
      <x:c r="G271" s="18" t="n">
        <x:v>46326</x:v>
      </x:c>
    </x:row>
    <x:row r="272" ht="30" customHeight="1">
      <x:c r="A272" s="7" t="str">
        <x:v>S265</x:v>
      </x:c>
      <x:c r="B272" s="7" t="str">
        <x:v>SRC-d2d0151df3</x:v>
      </x:c>
      <x:c r="C272" s="7" t="str">
        <x:v>令和6年度日本版MaaS 実績報告：komono</x:v>
      </x:c>
      <x:c r="D272" s="7" t="str">
        <x:v>https://www.mlit.go.jp/sogoseisaku/transport/content/001891600.pdf</x:v>
      </x:c>
      <x:c r="E272" s="7" t="str">
        <x:v>FY2024</x:v>
      </x:c>
      <x:c r="F272" s="7" t="str">
        <x:v>1頁、事業概要・成果・課題欄</x:v>
      </x:c>
      <x:c r="G272" s="18" t="n">
        <x:v>46326</x:v>
      </x:c>
    </x:row>
    <x:row r="273" ht="30" customHeight="1">
      <x:c r="A273" s="7" t="str">
        <x:v>S266</x:v>
      </x:c>
      <x:c r="B273" s="7" t="str">
        <x:v>SRC-ca0fa445f0</x:v>
      </x:c>
      <x:c r="C273" s="7" t="str">
        <x:v>令和6年度日本版MaaS 実績報告：kansai</x:v>
      </x:c>
      <x:c r="D273" s="7" t="str">
        <x:v>https://www.mlit.go.jp/sogoseisaku/transport/content/001891601.pdf</x:v>
      </x:c>
      <x:c r="E273" s="7" t="str">
        <x:v>FY2024</x:v>
      </x:c>
      <x:c r="F273" s="7" t="str">
        <x:v>1頁、事業概要・成果・課題欄</x:v>
      </x:c>
      <x:c r="G273" s="18" t="n">
        <x:v>46326</x:v>
      </x:c>
    </x:row>
    <x:row r="274" ht="30" customHeight="1">
      <x:c r="A274" s="7" t="str">
        <x:v>S267</x:v>
      </x:c>
      <x:c r="B274" s="7" t="str">
        <x:v>SRC-f4063dbc5a</x:v>
      </x:c>
      <x:c r="C274" s="7" t="str">
        <x:v>令和6年度日本版MaaS 実績報告：fukuoka</x:v>
      </x:c>
      <x:c r="D274" s="7" t="str">
        <x:v>https://www.mlit.go.jp/sogoseisaku/transport/content/001891602.pdf</x:v>
      </x:c>
      <x:c r="E274" s="7" t="str">
        <x:v>FY2024</x:v>
      </x:c>
      <x:c r="F274" s="7" t="str">
        <x:v>1頁、事業概要・成果・課題欄</x:v>
      </x:c>
      <x:c r="G274" s="18" t="n">
        <x:v>46326</x:v>
      </x:c>
    </x:row>
    <x:row r="275" ht="30" customHeight="1">
      <x:c r="A275" s="7" t="str">
        <x:v>S268</x:v>
      </x:c>
      <x:c r="B275" s="7" t="str">
        <x:v>SRC-de515f9fcf</x:v>
      </x:c>
      <x:c r="C275" s="7" t="str">
        <x:v>令和6年度日本版MaaS 実績報告：kyushu</x:v>
      </x:c>
      <x:c r="D275" s="7" t="str">
        <x:v>https://www.mlit.go.jp/sogoseisaku/transport/content/001891603.pdf</x:v>
      </x:c>
      <x:c r="E275" s="7" t="str">
        <x:v>FY2024</x:v>
      </x:c>
      <x:c r="F275" s="7" t="str">
        <x:v>1頁、事業概要・成果・課題欄</x:v>
      </x:c>
      <x:c r="G275" s="18" t="n">
        <x:v>46326</x:v>
      </x:c>
    </x:row>
    <x:row r="276" ht="30" customHeight="1">
      <x:c r="A276" s="7" t="str">
        <x:v>S269</x:v>
      </x:c>
      <x:c r="B276" s="7" t="str">
        <x:v>SRC-1de8e7cc9d</x:v>
      </x:c>
      <x:c r="C276" s="7" t="str">
        <x:v>令和6年度日本版MaaS 実績報告：yaeyama</x:v>
      </x:c>
      <x:c r="D276" s="7" t="str">
        <x:v>https://www.mlit.go.jp/sogoseisaku/transport/content/001891604.pdf</x:v>
      </x:c>
      <x:c r="E276" s="7" t="str">
        <x:v>FY2024</x:v>
      </x:c>
      <x:c r="F276" s="7" t="str">
        <x:v>1頁、事業概要・成果・課題欄</x:v>
      </x:c>
      <x:c r="G276" s="18" t="n">
        <x:v>46326</x:v>
      </x:c>
    </x:row>
    <x:row r="277" ht="30" customHeight="1">
      <x:c r="A277" s="7" t="str">
        <x:v>S270</x:v>
      </x:c>
      <x:c r="B277" s="7" t="str">
        <x:v>SRC-88e1a6bc03</x:v>
      </x:c>
      <x:c r="C277" s="7" t="str">
        <x:v>地域交通のリ・デザイン／共創関連支援</x:v>
      </x:c>
      <x:c r="D277" s="7" t="str">
        <x:v>https://www.mlit.go.jp/sogoseisaku/transport/kyousou/</x:v>
      </x:c>
      <x:c r="E277" s="7" t="str"/>
      <x:c r="F277" s="7" t="str">
        <x:v>各年度制度・公式事務局へのリンク</x:v>
      </x:c>
      <x:c r="G277" s="18" t="n">
        <x:v>46326</x:v>
      </x:c>
    </x:row>
    <x:row r="278" ht="30" customHeight="1">
      <x:c r="A278" s="7" t="str">
        <x:v>S271</x:v>
      </x:c>
      <x:c r="B278" s="7" t="str">
        <x:v>SRC-dc31021747</x:v>
      </x:c>
      <x:c r="C278" s="7" t="str">
        <x:v>MaaSの支援について</x:v>
      </x:c>
      <x:c r="D278" s="7" t="str">
        <x:v>https://www.mlit.go.jp/sogoseisaku/transport/sosei_transport_tk_000160.html</x:v>
      </x:c>
      <x:c r="E278" s="7" t="str"/>
      <x:c r="F278" s="7" t="str">
        <x:v>年度別採択一覧・申請内容／実績報告列</x:v>
      </x:c>
      <x:c r="G278" s="18" t="n">
        <x:v>46326</x:v>
      </x:c>
    </x:row>
    <x:row r="279" ht="30" customHeight="1">
      <x:c r="A279" s="7" t="str">
        <x:v>S272</x:v>
      </x:c>
      <x:c r="B279" s="7" t="str">
        <x:v>SRC-d2c785b30a</x:v>
      </x:c>
      <x:c r="C279" s="7" t="str">
        <x:v>新モビリティサービスの推進</x:v>
      </x:c>
      <x:c r="D279" s="7" t="str">
        <x:v>https://www.mlit.go.jp/sogoseisaku/transport/sosei_transport_tk_000193.html</x:v>
      </x:c>
      <x:c r="E279" s="7" t="str"/>
      <x:c r="F279" s="7" t="str">
        <x:v>冒頭の年度別説明、MaaS実装基盤整備事業、新モビリティサービス推進事業</x:v>
      </x:c>
      <x:c r="G279" s="18" t="n">
        <x:v>46326</x:v>
      </x:c>
    </x:row>
    <x:row r="280" ht="30" customHeight="1">
      <x:c r="A280" s="7" t="str">
        <x:v>S273</x:v>
      </x:c>
      <x:c r="B280" s="7" t="str">
        <x:v>SRC-1a249ce887</x:v>
      </x:c>
      <x:c r="C280" s="7" t="str">
        <x:v>鉄道における自動運転技術検討会</x:v>
      </x:c>
      <x:c r="D280" s="7" t="str">
        <x:v>https://www.mlit.go.jp/tetudo/tetudo_fr1_000058.html</x:v>
      </x:c>
      <x:c r="E280" s="7" t="str"/>
      <x:c r="F280" s="7" t="str">
        <x:v>2018-12-03開始→2022-03-02検討会、成果資料</x:v>
      </x:c>
      <x:c r="G280" s="18" t="n">
        <x:v>46326</x:v>
      </x:c>
    </x:row>
    <x:row r="281" ht="30" customHeight="1">
      <x:c r="A281" s="7" t="str">
        <x:v>S274</x:v>
      </x:c>
      <x:c r="B281" s="7" t="str">
        <x:v>SRC-836d74d5f5</x:v>
      </x:c>
      <x:c r="C281" s="7" t="str">
        <x:v>鉄道事業者と地域の協働による地域モビリティの刷新検討会</x:v>
      </x:c>
      <x:c r="D281" s="7" t="str">
        <x:v>https://www.mlit.go.jp/tetudo/tetudo_tk5_000011.html</x:v>
      </x:c>
      <x:c r="E281" s="7" t="str"/>
      <x:c r="F281" s="7" t="str">
        <x:v>2022提言・2023制度創設・2025第2期・2026-04-10方向性</x:v>
      </x:c>
      <x:c r="G281" s="18" t="n">
        <x:v>46326</x:v>
      </x:c>
    </x:row>
    <x:row r="282" ht="40.400001525878906" customHeight="1">
      <x:c r="A282" s="7" t="str">
        <x:v>S275</x:v>
      </x:c>
      <x:c r="B282" s="7" t="str">
        <x:v>SRC-a83731afee</x:v>
      </x:c>
      <x:c r="C282" s="7" t="str">
        <x:v>令和8年度スマートシティ実装化支援事業 選定方針</x:v>
      </x:c>
      <x:c r="D282" s="7" t="str">
        <x:v>https://www.mlit.go.jp/toshi/daisei/content/001989644.pdf</x:v>
      </x:c>
      <x:c r="E282" s="7" t="str">
        <x:v>2026</x:v>
      </x:c>
      <x:c r="F282" s="7" t="str">
        <x:v>PDF p2：予算2.2億円、都市サービス3500万円・戦略5000万円上限。p7–8：実装主体・費用分担・中心団体（都市再生推進法人、UDC等）の役割</x:v>
      </x:c>
      <x:c r="G282" s="18" t="n">
        <x:v>46326</x:v>
      </x:c>
    </x:row>
    <x:row r="283" ht="30" customHeight="1">
      <x:c r="A283" s="7" t="str">
        <x:v>S276</x:v>
      </x:c>
      <x:c r="B283" s="7" t="str">
        <x:v>SRC-b6d2a3cc97</x:v>
      </x:c>
      <x:c r="C283" s="7" t="str">
        <x:v>スマートシティ実装に向けた検討調査（その4）さいたま市成果報告</x:v>
      </x:c>
      <x:c r="D283" s="7" t="str">
        <x:v>https://www.mlit.go.jp/toshi/tosiko/content/001475403.pdf</x:v>
      </x:c>
      <x:c r="E283" s="7" t="str">
        <x:v>2021-08</x:v>
      </x:c>
      <x:c r="F283" s="7" t="str">
        <x:v>本文p2 選定履歴、p7体制、p24 実績（PDF p26）、無料・有料別比較</x:v>
      </x:c>
      <x:c r="G283" s="18" t="n">
        <x:v>46326</x:v>
      </x:c>
    </x:row>
    <x:row r="284" ht="30" customHeight="1">
      <x:c r="A284" s="7" t="str">
        <x:v>S277</x:v>
      </x:c>
      <x:c r="B284" s="7" t="str">
        <x:v>SRC-5807eb25af</x:v>
      </x:c>
      <x:c r="C284" s="7" t="str">
        <x:v>スマートシティ実装化支援事業の効果検証に対する評価及び考察</x:v>
      </x:c>
      <x:c r="D284" s="7" t="str">
        <x:v>https://www.mlit.go.jp/toshi/tosiko/content/002002094.pdf</x:v>
      </x:c>
      <x:c r="E284" s="7" t="str"/>
      <x:c r="F284" s="7" t="str">
        <x:v>p1 制度経緯・35地域／p2–3 技術と持続可能性の評価</x:v>
      </x:c>
      <x:c r="G284" s="18" t="n">
        <x:v>46326</x:v>
      </x:c>
    </x:row>
    <x:row r="285" ht="30" customHeight="1">
      <x:c r="A285" s="7" t="str">
        <x:v>S278</x:v>
      </x:c>
      <x:c r="B285" s="7" t="str">
        <x:v>SRC-289bea058a</x:v>
      </x:c>
      <x:c r="C285" s="7" t="str">
        <x:v>スマートシティモデル事業等 実行計画・実証成果</x:v>
      </x:c>
      <x:c r="D285" s="7" t="str">
        <x:v>https://www.mlit.go.jp/toshi/tosiko/toshi_tosiko_tk_000051.html</x:v>
      </x:c>
      <x:c r="E285" s="7" t="str"/>
      <x:c r="F285" s="7" t="str">
        <x:v>都市・年度別の実行計画・成果報告索引</x:v>
      </x:c>
      <x:c r="G285" s="18" t="n">
        <x:v>46326</x:v>
      </x:c>
    </x:row>
    <x:row r="286" ht="40.400001525878906" customHeight="1">
      <x:c r="A286" s="7" t="str">
        <x:v>S279</x:v>
      </x:c>
      <x:c r="B286" s="7" t="str">
        <x:v>SRC-3babd378b0</x:v>
      </x:c>
      <x:c r="C286" s="7" t="str">
        <x:v>Smart Mobility Challenge</x:v>
      </x:c>
      <x:c r="D286" s="7" t="str">
        <x:v>https://www.mobilitychallenge.go.jp/</x:v>
      </x:c>
      <x:c r="E286" s="7" t="str">
        <x:v>2026-03-23</x:v>
      </x:c>
      <x:c r="F286" s="7" t="str">
        <x:v>協議会は2026/3/31終了、サイト2027/3末まで
2026年3月31日の協議会終了案内</x:v>
      </x:c>
      <x:c r="G286" s="18" t="n">
        <x:v>46326</x:v>
      </x:c>
    </x:row>
    <x:row r="287" ht="30" customHeight="1">
      <x:c r="A287" s="7" t="str">
        <x:v>S280</x:v>
      </x:c>
      <x:c r="B287" s="7" t="str">
        <x:v>SRC-c150664ffa</x:v>
      </x:c>
      <x:c r="C287" s="7" t="str">
        <x:v>旧・知見集</x:v>
      </x:c>
      <x:c r="D287" s="7" t="str">
        <x:v>https://www.mobilitychallenge.go.jp/findings/</x:v>
      </x:c>
      <x:c r="E287" s="7" t="str"/>
      <x:c r="F287" s="7" t="str">
        <x:v>事業化で実証時の技術・システムに拘束されず再評価、システムなし選択肢</x:v>
      </x:c>
      <x:c r="G287" s="18" t="n">
        <x:v>46326</x:v>
      </x:c>
    </x:row>
    <x:row r="288" ht="30" customHeight="1">
      <x:c r="A288" s="7" t="str">
        <x:v>S281</x:v>
      </x:c>
      <x:c r="B288" s="7" t="str">
        <x:v>SRC-ac2f0f15e2</x:v>
      </x:c>
      <x:c r="C288" s="7" t="str">
        <x:v>採択地域紹介</x:v>
      </x:c>
      <x:c r="D288" s="7" t="str">
        <x:v>https://www.mobilitychallenge.go.jp/introduction/</x:v>
      </x:c>
      <x:c r="E288" s="7" t="str"/>
      <x:c r="F288" s="7" t="str">
        <x:v>年度別。経産省/国交省混在のため事例ごとに確認</x:v>
      </x:c>
      <x:c r="G288" s="18" t="n">
        <x:v>46326</x:v>
      </x:c>
    </x:row>
    <x:row r="289" ht="40.400001525878906" customHeight="1">
      <x:c r="A289" s="7" t="str">
        <x:v>S282</x:v>
      </x:c>
      <x:c r="B289" s="7" t="str">
        <x:v>SRC-11b05ca359</x:v>
      </x:c>
      <x:c r="C289" s="7" t="str">
        <x:v>予算執行調査の反映状況：自動運転</x:v>
      </x:c>
      <x:c r="D289" s="7" t="str">
        <x:v>https://www.mof.go.jp/policy/budget/topics/budget_execution_audit/fy2025/hanei/23.pdf</x:v>
      </x:c>
      <x:c r="E289" s="7" t="str">
        <x:v>2026-01</x:v>
      </x:c>
      <x:c r="F289" s="7" t="str">
        <x:v>自己評価・再評価、L4実施計画、未達返還等の改善方針
PDF p1。R8年度補助要件等の見直し</x:v>
      </x:c>
      <x:c r="G289" s="18" t="n">
        <x:v>46326</x:v>
      </x:c>
    </x:row>
    <x:row r="290" ht="40.400001525878906" customHeight="1">
      <x:c r="A290" s="7" t="str">
        <x:v>S283</x:v>
      </x:c>
      <x:c r="B290" s="7" t="str">
        <x:v>SRC-8dca6bdaca</x:v>
      </x:c>
      <x:c r="C290" s="7" t="str">
        <x:v>令和7年度予算執行調査：自動運転社会実装推進事業</x:v>
      </x:c>
      <x:c r="D290" s="7" t="str">
        <x:v>https://www.mof.go.jp/policy/budget/topics/budget_execution_audit/fy2025/sy0706/23.pdf</x:v>
      </x:c>
      <x:c r="E290" s="7" t="str">
        <x:v>2025-06-27
2025-06</x:v>
      </x:c>
      <x:c r="F290" s="7" t="str">
        <x:v>p1対象107先・106回答／p2 131ルートの置換・実装予定／p3財源構成
PDF p2–3。p3グラフはダウンロードして目視照合</x:v>
      </x:c>
      <x:c r="G290" s="18" t="n">
        <x:v>46326</x:v>
      </x:c>
    </x:row>
    <x:row r="291" ht="30" customHeight="1">
      <x:c r="A291" s="7" t="str">
        <x:v>S284</x:v>
      </x:c>
      <x:c r="B291" s="7" t="str">
        <x:v>SRC-0b54f721cb</x:v>
      </x:c>
      <x:c r="C291" s="7" t="str">
        <x:v>成田国際空港 自動化・省力化</x:v>
      </x:c>
      <x:c r="D291" s="7" t="str">
        <x:v>https://www.narita-airport.jp/ja/company/airport-operation/action/airnarita/automation/</x:v>
      </x:c>
      <x:c r="E291" s="7" t="str"/>
      <x:c r="F291" s="7" t="str">
        <x:v>GSE2019年度～、ターミナル連絡バス2021年度～実証、L4目標</x:v>
      </x:c>
      <x:c r="G291" s="18" t="n">
        <x:v>46326</x:v>
      </x:c>
    </x:row>
    <x:row r="292" ht="30" customHeight="1">
      <x:c r="A292" s="7" t="str">
        <x:v>S285</x:v>
      </x:c>
      <x:c r="B292" s="7" t="str">
        <x:v>SRC-8065d68bf7</x:v>
      </x:c>
      <x:c r="C292" s="7" t="str">
        <x:v>成田空港内初 制限区域内自動走行実証開始</x:v>
      </x:c>
      <x:c r="D292" s="7" t="str">
        <x:v>https://www.narita-airport.jp/ja/company/media-center/news/20181204-jidousoukou/</x:v>
      </x:c>
      <x:c r="E292" s="7" t="str">
        <x:v>2018-12-04</x:v>
      </x:c>
      <x:c r="F292" s="7" t="str">
        <x:v>2018実証開始</x:v>
      </x:c>
      <x:c r="G292" s="18" t="n">
        <x:v>46326</x:v>
      </x:c>
    </x:row>
    <x:row r="293" ht="40.400001525878906" customHeight="1">
      <x:c r="A293" s="7" t="str">
        <x:v>S286</x:v>
      </x:c>
      <x:c r="B293" s="7" t="str">
        <x:v>SRC-1b84e22863</x:v>
      </x:c>
      <x:c r="C293" s="7" t="str">
        <x:v>次世代空モビリティの社会実装に向けた実現プロジェクト</x:v>
      </x:c>
      <x:c r="D293" s="7" t="str">
        <x:v>https://www.nedo.go.jp/activities/ZZJP2_100181.html</x:v>
      </x:c>
      <x:c r="E293" s="7" t="str">
        <x:v>2026-05-20</x:v>
      </x:c>
      <x:c r="F293" s="7" t="str">
        <x:v>ReAMo 2022–2026、FY2026予算28億円
ReAMo事業期間2022年度から2026年度</x:v>
      </x:c>
      <x:c r="G293" s="18" t="n">
        <x:v>46326</x:v>
      </x:c>
    </x:row>
    <x:row r="294" ht="30" customHeight="1">
      <x:c r="A294" s="7" t="str">
        <x:v>S287</x:v>
      </x:c>
      <x:c r="B294" s="7" t="str">
        <x:v>SRC-5590a31409</x:v>
      </x:c>
      <x:c r="C294" s="7" t="str">
        <x:v>デジタルライフライン整備事業</x:v>
      </x:c>
      <x:c r="D294" s="7" t="str">
        <x:v>https://www.nedo.go.jp/activities/ZZJP_100332.html</x:v>
      </x:c>
      <x:c r="E294" s="7" t="str">
        <x:v>2026-10-20</x:v>
      </x:c>
      <x:c r="F294" s="7" t="str">
        <x:v>事業期間2025–2026年度・2026年度予算1.1億円、4先行領域</x:v>
      </x:c>
      <x:c r="G294" s="18" t="n">
        <x:v>46326</x:v>
      </x:c>
    </x:row>
    <x:row r="295" ht="30" customHeight="1">
      <x:c r="A295" s="7" t="str">
        <x:v>S288</x:v>
      </x:c>
      <x:c r="B295" s="7" t="str">
        <x:v>SRC-4217afd180</x:v>
      </x:c>
      <x:c r="C295" s="7" t="str">
        <x:v>スマートモビリティ社会の構築 プロジェクト概要</x:v>
      </x:c>
      <x:c r="D295" s="7" t="str">
        <x:v>https://www.nedo.go.jp/content/100955752.pdf</x:v>
      </x:c>
      <x:c r="E295" s="7" t="str"/>
      <x:c r="F295" s="7" t="str">
        <x:v>2022–2030、支援規模上限1,130億円</x:v>
      </x:c>
      <x:c r="G295" s="18" t="n">
        <x:v>46326</x:v>
      </x:c>
    </x:row>
    <x:row r="296" ht="30" customHeight="1">
      <x:c r="A296" s="7" t="str">
        <x:v>S289</x:v>
      </x:c>
      <x:c r="B296" s="7" t="str">
        <x:v>SRC-6846081d05</x:v>
      </x:c>
      <x:c r="C296" s="7" t="str">
        <x:v>NEDO SIP第3期 2025年度実施方針</x:v>
      </x:c>
      <x:c r="D296" s="7" t="str">
        <x:v>https://www.nedo.go.jp/content/800021379.pdf</x:v>
      </x:c>
      <x:c r="E296" s="7" t="str">
        <x:v>2025</x:v>
      </x:c>
      <x:c r="F296" s="7" t="str">
        <x:v>事業規模：スマートモビリティ1,846百万円（変動あり）</x:v>
      </x:c>
      <x:c r="G296" s="18" t="n">
        <x:v>46326</x:v>
      </x:c>
    </x:row>
    <x:row r="297" ht="30" customHeight="1">
      <x:c r="A297" s="7" t="str">
        <x:v>S290</x:v>
      </x:c>
      <x:c r="B297" s="7" t="str">
        <x:v>SRC-2a1c186ca3</x:v>
      </x:c>
      <x:c r="C297" s="7" t="str">
        <x:v>ドローン運航管理システムの社会実装 KDDI</x:v>
      </x:c>
      <x:c r="D297" s="7" t="str">
        <x:v>https://www.nedo.go.jp/media/practical-realization/202301kddi.html</x:v>
      </x:c>
      <x:c r="E297" s="7" t="str">
        <x:v>2023-01</x:v>
      </x:c>
      <x:c r="F297" s="7" t="str">
        <x:v>2021/10/27、13地域52機を同時管理</x:v>
      </x:c>
      <x:c r="G297" s="18" t="n">
        <x:v>46326</x:v>
      </x:c>
    </x:row>
    <x:row r="298" ht="40.400001525878906" customHeight="1">
      <x:c r="A298" s="7" t="str">
        <x:v>S291</x:v>
      </x:c>
      <x:c r="B298" s="7" t="str">
        <x:v>SRC-f1d7b73408</x:v>
      </x:c>
      <x:c r="C298" s="7" t="str">
        <x:v>ドローンの社会実装に向け複数地域の実環境試験に着手</x:v>
      </x:c>
      <x:c r="D298" s="7" t="str">
        <x:v>https://www.nedo.go.jp/news/press/AA5_101385.html</x:v>
      </x:c>
      <x:c r="E298" s="7" t="str">
        <x:v>2020-11-30</x:v>
      </x:c>
      <x:c r="F298" s="7" t="str">
        <x:v>DRESS 2017–2021、2020年度予算40億円、福島RTF密度試験
DRESS事業期間2017年度から2021年度</x:v>
      </x:c>
      <x:c r="G298" s="18" t="n">
        <x:v>46326</x:v>
      </x:c>
    </x:row>
    <x:row r="299" ht="30" customHeight="1">
      <x:c r="A299" s="7" t="str">
        <x:v>S292</x:v>
      </x:c>
      <x:c r="B299" s="7" t="str">
        <x:v>SRC-807860fc7e</x:v>
      </x:c>
      <x:c r="C299" s="7" t="str">
        <x:v>東京臨海部で2021年度自動運転実証実験を開始</x:v>
      </x:c>
      <x:c r="D299" s="7" t="str">
        <x:v>https://www.nedo.go.jp/news/press/AA5_101482.html</x:v>
      </x:c>
      <x:c r="E299" s="7" t="str">
        <x:v>2021-10-13</x:v>
      </x:c>
      <x:c r="F299" s="7" t="str">
        <x:v>本文：22機関、V2N、2021-11～2022-03</x:v>
      </x:c>
      <x:c r="G299" s="18" t="n">
        <x:v>46326</x:v>
      </x:c>
    </x:row>
    <x:row r="300" ht="40.400001525878906" customHeight="1">
      <x:c r="A300" s="7" t="str">
        <x:v>S293</x:v>
      </x:c>
      <x:c r="B300" s="7" t="str">
        <x:v>SRC-ff48fc5edf</x:v>
      </x:c>
      <x:c r="C300" s="7" t="str">
        <x:v>次世代蓄電池・次世代モーターの開発に着手</x:v>
      </x:c>
      <x:c r="D300" s="7" t="str">
        <x:v>https://www.nedo.go.jp/news/press/AA5_101535.html</x:v>
      </x:c>
      <x:c r="E300" s="7" t="str">
        <x:v>2022-04-19</x:v>
      </x:c>
      <x:c r="F300" s="7" t="str">
        <x:v>2022–2030予定、NEDO支援規模1,510億円
開発着手と2022年度から2030年度の計画</x:v>
      </x:c>
      <x:c r="G300" s="18" t="n">
        <x:v>46326</x:v>
      </x:c>
    </x:row>
    <x:row r="301" ht="40.400001525878906" customHeight="1">
      <x:c r="A301" s="7" t="str">
        <x:v>S294</x:v>
      </x:c>
      <x:c r="B301" s="7" t="str">
        <x:v>SRC-d0ec6adda0</x:v>
      </x:c>
      <x:c r="C301" s="7" t="str">
        <x:v>GI基金 スマートモビリティ社会の構築に着手</x:v>
      </x:c>
      <x:c r="D301" s="7" t="str">
        <x:v>https://www.nedo.go.jp/news/press/AA5_101560.html</x:v>
      </x:c>
      <x:c r="E301" s="7" t="str">
        <x:v>2022-07-19</x:v>
      </x:c>
      <x:c r="F301" s="7" t="str">
        <x:v>開始時予算総額1,130億円（委託110億・助成1,020億上限）、2022–2030予定
プロジェクト開始と2022年度から2030年度の予定</x:v>
      </x:c>
      <x:c r="G301" s="18" t="n">
        <x:v>46326</x:v>
      </x:c>
    </x:row>
    <x:row r="302" ht="30" customHeight="1">
      <x:c r="A302" s="7" t="str">
        <x:v>S295</x:v>
      </x:c>
      <x:c r="B302" s="7" t="str">
        <x:v>SRC-63f5ab671c</x:v>
      </x:c>
      <x:c r="C302" s="7" t="str">
        <x:v>一般道路における自動運転サービスの社会実装に向けた研究</x:v>
      </x:c>
      <x:c r="D302" s="7" t="str">
        <x:v>https://www.nilim.go.jp/lab/bcg/siryou/tnn/tnn1161pdf/ks1161.pdf</x:v>
      </x:c>
      <x:c r="E302" s="7" t="str">
        <x:v>2021-05</x:v>
      </x:c>
      <x:c r="F302" s="7" t="str">
        <x:v>要旨・第2章 実証一覧／手動介入・利用意向分析</x:v>
      </x:c>
      <x:c r="G302" s="18" t="n">
        <x:v>46326</x:v>
      </x:c>
    </x:row>
    <x:row r="303" ht="30" customHeight="1">
      <x:c r="A303" s="7" t="str">
        <x:v>S296</x:v>
      </x:c>
      <x:c r="B303" s="7" t="str">
        <x:v>SRC-82fa3d7d09</x:v>
      </x:c>
      <x:c r="C303" s="7" t="str">
        <x:v>自動運転サービスの社会実装に向けた研究</x:v>
      </x:c>
      <x:c r="D303" s="7" t="str">
        <x:v>https://www.nilim.go.jp/lab/qcg/research/automated-driving.html</x:v>
      </x:c>
      <x:c r="E303" s="7" t="str"/>
      <x:c r="F303" s="7" t="str">
        <x:v>道の駅等実証の経過・成果</x:v>
      </x:c>
      <x:c r="G303" s="18" t="n">
        <x:v>46326</x:v>
      </x:c>
    </x:row>
    <x:row r="304" ht="30" customHeight="1">
      <x:c r="A304" s="7" t="str">
        <x:v>S297</x:v>
      </x:c>
      <x:c r="B304" s="7" t="str">
        <x:v>SRC-0253e3b85b</x:v>
      </x:c>
      <x:c r="C304" s="7" t="str">
        <x:v>警察庁 自動運転</x:v>
      </x:c>
      <x:c r="D304" s="7" t="str">
        <x:v>https://www.npa.go.jp/bureau/traffic/selfdriving/</x:v>
      </x:c>
      <x:c r="E304" s="7" t="str">
        <x:v>2026-09-18ほか</x:v>
      </x:c>
      <x:c r="F304" s="7" t="str">
        <x:v>改正法、ロボット農機、交通ルール窓口</x:v>
      </x:c>
      <x:c r="G304" s="18" t="n">
        <x:v>46326</x:v>
      </x:c>
    </x:row>
    <x:row r="305" ht="30" customHeight="1">
      <x:c r="A305" s="7" t="str">
        <x:v>S298</x:v>
      </x:c>
      <x:c r="B305" s="7" t="str">
        <x:v>SRC-47ba7181ae</x:v>
      </x:c>
      <x:c r="C305" s="7" t="str">
        <x:v>公道実証実験</x:v>
      </x:c>
      <x:c r="D305" s="7" t="str">
        <x:v>https://www.npa.go.jp/bureau/traffic/selfdriving/roadtesting/</x:v>
      </x:c>
      <x:c r="E305" s="7" t="str"/>
      <x:c r="F305" s="7" t="str">
        <x:v>2016年5月ガイドライン</x:v>
      </x:c>
      <x:c r="G305" s="18" t="n">
        <x:v>46326</x:v>
      </x:c>
    </x:row>
    <x:row r="306" ht="30" customHeight="1">
      <x:c r="A306" s="7" t="str">
        <x:v>S299</x:v>
      </x:c>
      <x:c r="B306" s="7" t="str">
        <x:v>SRC-46b6d654b1</x:v>
      </x:c>
      <x:c r="C306" s="7" t="str">
        <x:v>国家公安委員会定例会議</x:v>
      </x:c>
      <x:c r="D306" s="7" t="str">
        <x:v>https://www.npsc.go.jp/report_2024/03-21.htm</x:v>
      </x:c>
      <x:c r="E306" s="7" t="str">
        <x:v>2024-03-21</x:v>
      </x:c>
      <x:c r="F306" s="7" t="str">
        <x:v>永平寺事故調査、障害物検知装置の作動状態</x:v>
      </x:c>
      <x:c r="G306" s="18" t="n">
        <x:v>46326</x:v>
      </x:c>
    </x:row>
    <x:row r="307" ht="30" customHeight="1">
      <x:c r="A307" s="7" t="str">
        <x:v>S300</x:v>
      </x:c>
      <x:c r="B307" s="7" t="str">
        <x:v>SRC-bf422afeb0</x:v>
      </x:c>
      <x:c r="C307" s="7" t="str">
        <x:v>環境配慮型・観光MaaS NIKKO MaaS開始</x:v>
      </x:c>
      <x:c r="D307" s="7" t="str">
        <x:v>https://www.orix.co.jp/grp/company/newsroom/newsrelease/210930_ORIXG2.html</x:v>
      </x:c>
      <x:c r="E307" s="7" t="str">
        <x:v>2021-09-30</x:v>
      </x:c>
      <x:c r="F307" s="7" t="str">
        <x:v>2021年10月28日開始、6者の役割</x:v>
      </x:c>
      <x:c r="G307" s="18" t="n">
        <x:v>46326</x:v>
      </x:c>
    </x:row>
    <x:row r="308" ht="30" customHeight="1">
      <x:c r="A308" s="7" t="str">
        <x:v>S301</x:v>
      </x:c>
      <x:c r="B308" s="7" t="str">
        <x:v>SRC-13881242c6</x:v>
      </x:c>
      <x:c r="C308" s="7" t="str">
        <x:v>CONPASの概要</x:v>
      </x:c>
      <x:c r="D308" s="7" t="str">
        <x:v>https://www.pa.hrr.mlit.go.jp/file/kouwanshinkou/butsuryu/butsuryu-kanri/upload/R2_08.pdf</x:v>
      </x:c>
      <x:c r="E308" s="7" t="str">
        <x:v>2021-03</x:v>
      </x:c>
      <x:c r="F308" s="7" t="str">
        <x:v>p8 横浜港2018–2020試験運用一覧</x:v>
      </x:c>
      <x:c r="G308" s="18" t="n">
        <x:v>46326</x:v>
      </x:c>
    </x:row>
    <x:row r="309" ht="30" customHeight="1">
      <x:c r="A309" s="7" t="str">
        <x:v>S302</x:v>
      </x:c>
      <x:c r="B309" s="7" t="str">
        <x:v>SRC-1e17f2bc65</x:v>
      </x:c>
      <x:c r="C309" s="7" t="str">
        <x:v>2023年度デジ田交付金実績等：先端技術を活用したモビリティ社会実現</x:v>
      </x:c>
      <x:c r="D309" s="7" t="str">
        <x:v>https://www.pref.aichi.jp/uploaded/attachment/542336.pdf</x:v>
      </x:c>
      <x:c r="E309" s="7" t="str">
        <x:v>2025</x:v>
      </x:c>
      <x:c r="F309" s="7" t="str">
        <x:v>p3：R3–R7計画、R5実績185,491,800円、MaaS継続と自動走行課題</x:v>
      </x:c>
      <x:c r="G309" s="18" t="n">
        <x:v>46326</x:v>
      </x:c>
    </x:row>
    <x:row r="310" ht="30" customHeight="1">
      <x:c r="A310" s="7" t="str">
        <x:v>S303</x:v>
      </x:c>
      <x:c r="B310" s="7" t="str">
        <x:v>SRC-de4ed058b3</x:v>
      </x:c>
      <x:c r="C310" s="7" t="str">
        <x:v>岐阜バス貨客混載農産物輸送</x:v>
      </x:c>
      <x:c r="D310" s="7" t="str">
        <x:v>https://www.pref.gifu.lg.jp/site/pressrelease/503328.html</x:v>
      </x:c>
      <x:c r="E310" s="7" t="str">
        <x:v>2026-06-16</x:v>
      </x:c>
      <x:c r="F310" s="7" t="str">
        <x:v>6月26日開始を告知</x:v>
      </x:c>
      <x:c r="G310" s="18" t="n">
        <x:v>46326</x:v>
      </x:c>
    </x:row>
    <x:row r="311" ht="30" customHeight="1">
      <x:c r="A311" s="7" t="str">
        <x:v>S304</x:v>
      </x:c>
      <x:c r="B311" s="7" t="str">
        <x:v>SRC-c865dfb1bd</x:v>
      </x:c>
      <x:c r="C311" s="7" t="str">
        <x:v>群馬県議会 GunMaaS</x:v>
      </x:c>
      <x:c r="D311" s="7" t="str">
        <x:v>https://www.pref.gunma.jp/site/gikai/616080.html</x:v>
      </x:c>
      <x:c r="E311" s="7" t="str">
        <x:v>2023-11-13</x:v>
      </x:c>
      <x:c r="F311" s="7" t="str">
        <x:v>MaeMaaSを引き継ぐGunMaaSの取組</x:v>
      </x:c>
      <x:c r="G311" s="18" t="n">
        <x:v>46326</x:v>
      </x:c>
    </x:row>
    <x:row r="312" ht="30" customHeight="1">
      <x:c r="A312" s="7" t="str">
        <x:v>S305</x:v>
      </x:c>
      <x:c r="B312" s="7" t="str">
        <x:v>SRC-2db3be579b</x:v>
      </x:c>
      <x:c r="C312" s="7" t="str">
        <x:v>高齢者外出支援サポート 秦野市</x:v>
      </x:c>
      <x:c r="D312" s="7" t="str">
        <x:v>https://www.pref.kanagawa.jp/docs/u6s/cnt/f536479/p1137761.html</x:v>
      </x:c>
      <x:c r="E312" s="7" t="str">
        <x:v>2026-07-21</x:v>
      </x:c>
      <x:c r="F312" s="7" t="str">
        <x:v>取組7 訪問型サービスD</x:v>
      </x:c>
      <x:c r="G312" s="18" t="n">
        <x:v>46326</x:v>
      </x:c>
    </x:row>
    <x:row r="313" ht="30" customHeight="1">
      <x:c r="A313" s="7" t="str">
        <x:v>S306</x:v>
      </x:c>
      <x:c r="B313" s="7" t="str">
        <x:v>SRC-5f76068b50</x:v>
      </x:c>
      <x:c r="C313" s="7" t="str">
        <x:v>長崎県知事会見</x:v>
      </x:c>
      <x:c r="D313" s="7" t="str">
        <x:v>https://www.pref.nagasaki.jp/governor/speak/20251126.html</x:v>
      </x:c>
      <x:c r="E313" s="7" t="str">
        <x:v>2025-11-26</x:v>
      </x:c>
      <x:c r="F313" s="7" t="str">
        <x:v>11月20日新上五島エリア型L4実証</x:v>
      </x:c>
      <x:c r="G313" s="18" t="n">
        <x:v>46326</x:v>
      </x:c>
    </x:row>
    <x:row r="314" ht="30" customHeight="1">
      <x:c r="A314" s="7" t="str">
        <x:v>S307</x:v>
      </x:c>
      <x:c r="B314" s="7" t="str">
        <x:v>SRC-18eb040d5a</x:v>
      </x:c>
      <x:c r="C314" s="7" t="str">
        <x:v>徳島県知事会見</x:v>
      </x:c>
      <x:c r="D314" s="7" t="str">
        <x:v>https://www.pref.tokushima.lg.jp/governor/press-record/7204047/</x:v>
      </x:c>
      <x:c r="E314" s="7" t="str">
        <x:v>2022-02-04</x:v>
      </x:c>
      <x:c r="F314" s="7" t="str">
        <x:v>燃料電池バス運行への言及</x:v>
      </x:c>
      <x:c r="G314" s="18" t="n">
        <x:v>46326</x:v>
      </x:c>
    </x:row>
    <x:row r="315" ht="54.599998474121094" customHeight="1">
      <x:c r="A315" s="7" t="str">
        <x:v>S308</x:v>
      </x:c>
      <x:c r="B315" s="7" t="str">
        <x:v>SRC-ea3cb3b795</x:v>
      </x:c>
      <x:c r="C315" s="7" t="str">
        <x:v>RoAD to the L4 5年間の総括</x:v>
      </x:c>
      <x:c r="D315" s="7" t="str">
        <x:v>https://www.road-to-the-l4.go.jp/publication/pdf/02-1_RTL4_5y_20260305.pdf</x:v>
      </x:c>
      <x:c r="E315" s="7" t="str">
        <x:v>2026-03-05</x:v>
      </x:c>
      <x:c r="F315" s="7" t="str">
        <x:v>PDF pp.4–7、目標更新・テーマ別成果
5年間の事業期間とテーマ別成果
テーマ別の成果と残る条件</x:v>
      </x:c>
      <x:c r="G315" s="18" t="n">
        <x:v>46326</x:v>
      </x:c>
    </x:row>
    <x:row r="316" ht="30" customHeight="1">
      <x:c r="A316" s="7" t="str">
        <x:v>S309</x:v>
      </x:c>
      <x:c r="B316" s="7" t="str">
        <x:v>SRC-3022c44cce</x:v>
      </x:c>
      <x:c r="C316" s="7" t="str">
        <x:v>テーマ1 永平寺町 成果報告</x:v>
      </x:c>
      <x:c r="D316" s="7" t="str">
        <x:v>https://www.road-to-the-l4.go.jp/publication/pdf/02-2_theme01_20260305.pdf</x:v>
      </x:c>
      <x:c r="E316" s="7" t="str">
        <x:v>2026-03-05</x:v>
      </x:c>
      <x:c r="F316" s="7" t="str">
        <x:v>PDF pp.2–4、履歴・2023–2025運行実績</x:v>
      </x:c>
      <x:c r="G316" s="18" t="n">
        <x:v>46326</x:v>
      </x:c>
    </x:row>
    <x:row r="317" ht="30" customHeight="1">
      <x:c r="A317" s="7" t="str">
        <x:v>S310</x:v>
      </x:c>
      <x:c r="B317" s="7" t="str">
        <x:v>SRC-615a2d613e</x:v>
      </x:c>
      <x:c r="C317" s="7" t="str">
        <x:v>テーマ2 ひたちBRT 成果報告</x:v>
      </x:c>
      <x:c r="D317" s="7" t="str">
        <x:v>https://www.road-to-the-l4.go.jp/publication/pdf/02-3_theme02_20260305.pdf</x:v>
      </x:c>
      <x:c r="E317" s="7" t="str">
        <x:v>2026-03-05</x:v>
      </x:c>
      <x:c r="F317" s="7" t="str">
        <x:v>PDF pp.2–3、6–9。営業実績p.7は2025/2/3–2026/1/31、代車日除外</x:v>
      </x:c>
      <x:c r="G317" s="18" t="n">
        <x:v>46326</x:v>
      </x:c>
    </x:row>
    <x:row r="318" ht="30" customHeight="1">
      <x:c r="A318" s="7" t="str">
        <x:v>S311</x:v>
      </x:c>
      <x:c r="B318" s="7" t="str">
        <x:v>SRC-ff789031bc</x:v>
      </x:c>
      <x:c r="C318" s="7" t="str">
        <x:v>テーマ3 高速道路の自動運転トラック 成果報告</x:v>
      </x:c>
      <x:c r="D318" s="7" t="str">
        <x:v>https://www.road-to-the-l4.go.jp/publication/pdf/02-4_theme03_20260305.pdf</x:v>
      </x:c>
      <x:c r="E318" s="7" t="str">
        <x:v>2026-03-05</x:v>
      </x:c>
      <x:c r="F318" s="7" t="str">
        <x:v>PDF pp.4、37–41：実証、事業者調査、運行機能分担</x:v>
      </x:c>
      <x:c r="G318" s="18" t="n">
        <x:v>46326</x:v>
      </x:c>
    </x:row>
    <x:row r="319" ht="30" customHeight="1">
      <x:c r="A319" s="7" t="str">
        <x:v>S312</x:v>
      </x:c>
      <x:c r="B319" s="7" t="str">
        <x:v>SRC-71d58a8918</x:v>
      </x:c>
      <x:c r="C319" s="7" t="str">
        <x:v>テーマ4 柏の葉 成果報告</x:v>
      </x:c>
      <x:c r="D319" s="7" t="str">
        <x:v>https://www.road-to-the-l4.go.jp/publication/pdf/02-5_theme04_20260305.pdf</x:v>
      </x:c>
      <x:c r="E319" s="7" t="str">
        <x:v>2026-03-05</x:v>
      </x:c>
      <x:c r="F319" s="7" t="str">
        <x:v>PDF pp.3、6、8：許認可・サービス開始・ODD</x:v>
      </x:c>
      <x:c r="G319" s="18" t="n">
        <x:v>46326</x:v>
      </x:c>
    </x:row>
    <x:row r="320" ht="30" customHeight="1">
      <x:c r="A320" s="7" t="str">
        <x:v>S313</x:v>
      </x:c>
      <x:c r="B320" s="7" t="str">
        <x:v>SRC-39c18d9fd9</x:v>
      </x:c>
      <x:c r="C320" s="7" t="str">
        <x:v>SIP第2期最終成果展示：交通環境情報ポータルMD communet</x:v>
      </x:c>
      <x:c r="D320" s="7" t="str">
        <x:v>https://www.sip-adus.go.jp/exhibition/e2.html</x:v>
      </x:c>
      <x:c r="E320" s="7" t="str">
        <x:v>2023</x:v>
      </x:c>
      <x:c r="F320" s="7" t="str">
        <x:v>E2</x:v>
      </x:c>
      <x:c r="G320" s="18" t="n">
        <x:v>46326</x:v>
      </x:c>
    </x:row>
    <x:row r="321" ht="30" customHeight="1">
      <x:c r="A321" s="7" t="str">
        <x:v>S314</x:v>
      </x:c>
      <x:c r="B321" s="7" t="str">
        <x:v>SRC-7cea9604ac</x:v>
      </x:c>
      <x:c r="C321" s="7" t="str">
        <x:v>SIP第2期自動運転中間成果展示 A1</x:v>
      </x:c>
      <x:c r="D321" s="7" t="str">
        <x:v>https://www.sip-adus.go.jp/showcase/a1.html</x:v>
      </x:c>
      <x:c r="E321" s="7" t="str">
        <x:v>2021頃（ページ日付未表示）</x:v>
      </x:c>
      <x:c r="F321" s="7" t="str">
        <x:v>第1期→2018年開始第2期の移行、東京臨海部・中山間地域</x:v>
      </x:c>
      <x:c r="G321" s="18" t="n">
        <x:v>46326</x:v>
      </x:c>
    </x:row>
    <x:row r="322" ht="30" customHeight="1">
      <x:c r="A322" s="7" t="str">
        <x:v>S315</x:v>
      </x:c>
      <x:c r="B322" s="7" t="str">
        <x:v>SRC-60de26032e</x:v>
      </x:c>
      <x:c r="C322" s="7" t="str">
        <x:v>SIP自動運転 2022年度研究開発計画</x:v>
      </x:c>
      <x:c r="D322" s="7" t="str">
        <x:v>https://www.sip-adus.go.jp/sip/file/sip_2022_plan_s.pdf</x:v>
      </x:c>
      <x:c r="E322" s="7" t="str">
        <x:v>2022</x:v>
      </x:c>
      <x:c r="F322" s="7" t="str">
        <x:v>p15 東京臨海部実証：V2I/V2N・信号予定・車線別道路情報・降雨・緊急車位置</x:v>
      </x:c>
      <x:c r="G322" s="18" t="n">
        <x:v>46326</x:v>
      </x:c>
    </x:row>
    <x:row r="323" ht="30" customHeight="1">
      <x:c r="A323" s="7" t="str">
        <x:v>S316</x:v>
      </x:c>
      <x:c r="B323" s="7" t="str">
        <x:v>SRC-ecd3d8505b</x:v>
      </x:c>
      <x:c r="C323" s="7" t="str">
        <x:v>小名浜地区におけるグリーンスローモビリティ実証</x:v>
      </x:c>
      <x:c r="D323" s="7" t="str">
        <x:v>https://www.softbank.jp/corp/news/press/sbkk/2019/20191119_01/</x:v>
      </x:c>
      <x:c r="E323" s="7" t="str">
        <x:v>2019-11-19</x:v>
      </x:c>
      <x:c r="F323" s="7" t="str">
        <x:v>2019年11月26日～2020年3月8日実証</x:v>
      </x:c>
      <x:c r="G323" s="18" t="n">
        <x:v>46326</x:v>
      </x:c>
    </x:row>
    <x:row r="324" ht="30" customHeight="1">
      <x:c r="A324" s="7" t="str">
        <x:v>S317</x:v>
      </x:c>
      <x:c r="B324" s="7" t="str">
        <x:v>SRC-b2232578e6</x:v>
      </x:c>
      <x:c r="C324" s="7" t="str">
        <x:v>日光エリアの鉄道運行等にかかる電力を再生可能エネルギーに</x:v>
      </x:c>
      <x:c r="D324" s="7" t="str">
        <x:v>https://www.tobu.co.jp/cms-pdf/releases/20220316114025nA56U6Qt2NKv0N7Br2sJLQ.pdf</x:v>
      </x:c>
      <x:c r="E324" s="7" t="str">
        <x:v>2022-03-16</x:v>
      </x:c>
      <x:c r="F324" s="7" t="str">
        <x:v>2022年4月1日開始</x:v>
      </x:c>
      <x:c r="G324" s="18" t="n">
        <x:v>46326</x:v>
      </x:c>
    </x:row>
    <x:row r="325" ht="30" customHeight="1">
      <x:c r="A325" s="7" t="str">
        <x:v>S318</x:v>
      </x:c>
      <x:c r="B325" s="7" t="str">
        <x:v>SRC-02600a6610</x:v>
      </x:c>
      <x:c r="C325" s="7" t="str">
        <x:v>令和7年度地域新MaaS採択結果</x:v>
      </x:c>
      <x:c r="D325" s="7" t="str">
        <x:v>https://www.tohoku.meti.go.jp/koho/koshin/kobo/saitaku/2025/s250414001.html</x:v>
      </x:c>
      <x:c r="E325" s="7" t="str">
        <x:v>2025-04-14</x:v>
      </x:c>
      <x:c r="F325" s="7" t="str">
        <x:v>全国5地域、仙北市E.G.Engineering</x:v>
      </x:c>
      <x:c r="G325" s="18" t="n">
        <x:v>46326</x:v>
      </x:c>
    </x:row>
    <x:row r="326" ht="30" customHeight="1">
      <x:c r="A326" s="7" t="str">
        <x:v>S319</x:v>
      </x:c>
      <x:c r="B326" s="7" t="str">
        <x:v>SRC-ebdd15ebf0</x:v>
      </x:c>
      <x:c r="C326" s="7" t="str">
        <x:v>DENTO実証実験の結果報告</x:v>
      </x:c>
      <x:c r="D326" s="7" t="str">
        <x:v>https://www.tokyu.co.jp/company/news/detail/321.html</x:v>
      </x:c>
      <x:c r="E326" s="7" t="str">
        <x:v>2021-05-11</x:v>
      </x:c>
      <x:c r="F326" s="7" t="str">
        <x:v>実験2021-01-13～04-28、会員1万人・チケット2.3万枚</x:v>
      </x:c>
      <x:c r="G326" s="18" t="n">
        <x:v>46326</x:v>
      </x:c>
    </x:row>
    <x:row r="327" ht="30" customHeight="1">
      <x:c r="A327" s="7" t="str">
        <x:v>S320</x:v>
      </x:c>
      <x:c r="B327" s="7" t="str">
        <x:v>SRC-72cd986399</x:v>
      </x:c>
      <x:c r="C327" s="7" t="str">
        <x:v>Izuko専用アプリ当初目標2万ダウンロード達成</x:v>
      </x:c>
      <x:c r="D327" s="7" t="str">
        <x:v>https://www.tokyu.co.jp/company/news/pdf/20190529-1.pdf</x:v>
      </x:c>
      <x:c r="E327" s="7" t="str">
        <x:v>2019-05-29</x:v>
      </x:c>
      <x:c r="F327" s="7" t="str">
        <x:v>Phase1 2019-04-01～06-30、当初予定Phase2は後に変更</x:v>
      </x:c>
      <x:c r="G327" s="18" t="n">
        <x:v>46326</x:v>
      </x:c>
    </x:row>
    <x:row r="328" ht="30" customHeight="1">
      <x:c r="A328" s="7" t="str">
        <x:v>S321</x:v>
      </x:c>
      <x:c r="B328" s="7" t="str">
        <x:v>SRC-ee011dca8a</x:v>
      </x:c>
      <x:c r="C328" s="7" t="str">
        <x:v>観光型MaaS Izuko Phase3結果報告</x:v>
      </x:c>
      <x:c r="D328" s="7" t="str">
        <x:v>https://www.tokyu.co.jp/company/news/pdf/20210427-1.pdf</x:v>
      </x:c>
      <x:c r="E328" s="7" t="str">
        <x:v>2021-04-27</x:v>
      </x:c>
      <x:c r="F328" s="7" t="str">
        <x:v>Phase2/3実施期間・販売枚数比較表・今後の運営検討</x:v>
      </x:c>
      <x:c r="G328" s="18" t="n">
        <x:v>46326</x:v>
      </x:c>
    </x:row>
    <x:row r="329" ht="30" customHeight="1">
      <x:c r="A329" s="7" t="str">
        <x:v>S322</x:v>
      </x:c>
      <x:c r="B329" s="7" t="str">
        <x:v>SRC-9077a9db2f</x:v>
      </x:c>
      <x:c r="C329" s="7" t="str">
        <x:v>境町 自動運転バス</x:v>
      </x:c>
      <x:c r="D329" s="7" t="str">
        <x:v>https://www.town.ibaraki-sakai.lg.jp/mobile/page/page002440.html</x:v>
      </x:c>
      <x:c r="E329" s="7" t="str"/>
      <x:c r="F329" s="7" t="str">
        <x:v>冒頭休止案内、運行開始、車いす条件</x:v>
      </x:c>
      <x:c r="G329" s="18" t="n">
        <x:v>46326</x:v>
      </x:c>
    </x:row>
    <x:row r="330" ht="40.400001525878906" customHeight="1">
      <x:c r="A330" s="7" t="str">
        <x:v>S323</x:v>
      </x:c>
      <x:c r="B330" s="7" t="str">
        <x:v>SRC-01a2148fd1</x:v>
      </x:c>
      <x:c r="C330" s="7" t="str">
        <x:v>吉備中央町デジ田交付金事業 効果検証シート</x:v>
      </x:c>
      <x:c r="D330" s="7" t="str">
        <x:v>https://www.town.kibichuo.lg.jp/uploaded/attachment/12092.pdf</x:v>
      </x:c>
      <x:c r="E330" s="7" t="str">
        <x:v>2025（R6実績）</x:v>
      </x:c>
      <x:c r="F330" s="7" t="str">
        <x:v>p1 交通DX：マイクロEV中断、49,900,000円、R4–R6利用実績
PDF p1</x:v>
      </x:c>
      <x:c r="G330" s="18" t="n">
        <x:v>46326</x:v>
      </x:c>
    </x:row>
    <x:row r="331" ht="30" customHeight="1">
      <x:c r="A331" s="7" t="str">
        <x:v>S324</x:v>
      </x:c>
      <x:c r="B331" s="7" t="str">
        <x:v>SRC-05486448f8</x:v>
      </x:c>
      <x:c r="C331" s="7" t="str">
        <x:v>コトコト感幸バスの運行終了について</x:v>
      </x:c>
      <x:c r="D331" s="7" t="str">
        <x:v>https://www.town.kotohira.kagawa.jp/soshiki/0/7138.html</x:v>
      </x:c>
      <x:c r="E331" s="7" t="str">
        <x:v>2021-12-06</x:v>
      </x:c>
      <x:c r="F331" s="7" t="str">
        <x:v>2021年12月28日をもって終了</x:v>
      </x:c>
      <x:c r="G331" s="18" t="n">
        <x:v>46326</x:v>
      </x:c>
    </x:row>
    <x:row r="332" ht="30" customHeight="1">
      <x:c r="A332" s="7" t="str">
        <x:v>S325</x:v>
      </x:c>
      <x:c r="B332" s="7" t="str">
        <x:v>SRC-267f5d2149</x:v>
      </x:c>
      <x:c r="C332" s="7" t="str">
        <x:v>琴平町グリーンスローモビリティ実証案内</x:v>
      </x:c>
      <x:c r="D332" s="7" t="str">
        <x:v>https://www.town.kotohira.kagawa.jp/uploaded/attachment/2637.pdf</x:v>
      </x:c>
      <x:c r="E332" s="7" t="str">
        <x:v>2019年</x:v>
      </x:c>
      <x:c r="F332" s="7" t="str">
        <x:v>2019年4月2～24日実証</x:v>
      </x:c>
      <x:c r="G332" s="18" t="n">
        <x:v>46326</x:v>
      </x:c>
    </x:row>
    <x:row r="333" ht="30" customHeight="1">
      <x:c r="A333" s="7" t="str">
        <x:v>S326</x:v>
      </x:c>
      <x:c r="B333" s="7" t="str">
        <x:v>SRC-097fc2e83c</x:v>
      </x:c>
      <x:c r="C333" s="7" t="str">
        <x:v>Level 4 prescription-drug delivery demonstration</x:v>
      </x:c>
      <x:c r="D333" s="7" t="str">
        <x:v>https://www.toyota-tsusho.com/english/press/detail/250210_006531.html</x:v>
      </x:c>
      <x:c r="E333" s="7" t="str">
        <x:v>2025-02-10</x:v>
      </x:c>
      <x:c r="F333" s="7" t="str">
        <x:v>2022年5月からL3定期医薬品配送、2025年L4実証</x:v>
      </x:c>
      <x:c r="G333" s="18" t="n">
        <x:v>46326</x:v>
      </x:c>
    </x:row>
    <x:row r="334" ht="40.400001525878906" customHeight="1">
      <x:c r="A334" s="7" t="str">
        <x:v>S327</x:v>
      </x:c>
      <x:c r="B334" s="7" t="str">
        <x:v>SRC-b24cdee233</x:v>
      </x:c>
      <x:c r="C334" s="7" t="str">
        <x:v>西米良村・郵便・ヤマト・佐川連携発表</x:v>
      </x:c>
      <x:c r="D334" s="7" t="str">
        <x:v>https://www.vill.nishimera.lg.jp/village/wp-content/uploads/2020/03/ee75db6c3ea506c839ecbb7add4a2d41.pdf</x:v>
      </x:c>
      <x:c r="E334" s="7" t="str">
        <x:v>2020-03-23</x:v>
      </x:c>
      <x:c r="F334" s="7" t="str">
        <x:v>2020-04-01開始、村営バスと地域配送の貨客混載</x:v>
      </x:c>
      <x:c r="G334" s="18" t="n">
        <x:v>46326</x:v>
      </x:c>
    </x:row>
    <x:row r="335" ht="40.400001525878906" customHeight="1">
      <x:c r="A335" s="7" t="str">
        <x:v>S328</x:v>
      </x:c>
      <x:c r="B335" s="7" t="str">
        <x:v>SRC-ad429ac9cf</x:v>
      </x:c>
      <x:c r="C335" s="7" t="str">
        <x:v>西米良村議会だより</x:v>
      </x:c>
      <x:c r="D335" s="7" t="str">
        <x:v>https://www.vill.nishimera.lg.jp/village/wp-content/uploads/2025/05/572c1c96ddd3355751b12ba7b75fecb6.pdf</x:v>
      </x:c>
      <x:c r="E335" s="7" t="str">
        <x:v>2025-05</x:v>
      </x:c>
      <x:c r="F335" s="7" t="str">
        <x:v>p11：令和5年度ホイホイ便配達。郵便12998、ヤマト523、佐川124</x:v>
      </x:c>
      <x:c r="G335" s="18" t="n">
        <x:v>46326</x:v>
      </x:c>
    </x:row>
    <x:row r="336" ht="30" customHeight="1">
      <x:c r="A336" s="7" t="str">
        <x:v>S329</x:v>
      </x:c>
      <x:c r="B336" s="7" t="str">
        <x:v>SRC-26c765527b</x:v>
      </x:c>
      <x:c r="C336" s="7" t="str">
        <x:v>V2G実証結果</x:v>
      </x:c>
      <x:c r="D336" s="7" t="str">
        <x:v>https://www4.tepco.co.jp/press/release/2020/pdf2/200608j0101.pdf</x:v>
      </x:c>
      <x:c r="E336" s="7" t="str">
        <x:v>2020-06-08</x:v>
      </x:c>
      <x:c r="F336" s="7" t="str">
        <x:v>2019年度59台、40台追加</x:v>
      </x:c>
      <x:c r="G336" s="18" t="n">
        <x:v>46326</x:v>
      </x:c>
    </x:row>
    <x:row r="337" ht="30" customHeight="1">
      <x:c r="A337" s="7" t="str">
        <x:v>S330</x:v>
      </x:c>
      <x:c r="B337" s="7" t="str">
        <x:v>SRC-5383f67624</x:v>
      </x:c>
      <x:c r="C337" s="7" t="str">
        <x:v>SIP第1期の成果事例：自動走行システム</x:v>
      </x:c>
      <x:c r="D337" s="7" t="str">
        <x:v>https://www5.cao.go.jp/keizai-shimon/kaigi/special/reform/wg7/20191101/shiryou1_part5.pdf</x:v>
      </x:c>
      <x:c r="E337" s="7" t="str">
        <x:v>2019-11-01</x:v>
      </x:c>
      <x:c r="F337" s="7" t="str">
        <x:v>資料p34：3万km高精度3D地図商用配信、標準化</x:v>
      </x:c>
      <x:c r="G337" s="18" t="n">
        <x:v>46326</x:v>
      </x:c>
    </x:row>
    <x:row r="338" ht="30" customHeight="1">
      <x:c r="A338" s="7" t="str">
        <x:v>S331</x:v>
      </x:c>
      <x:c r="B338" s="7" t="str">
        <x:v>SRC-a45d8967c7</x:v>
      </x:c>
      <x:c r="C338" s="7" t="str">
        <x:v>スマートシティ官民連携プラットフォーム始動</x:v>
      </x:c>
      <x:c r="D338" s="7" t="str">
        <x:v>https://www8.cao.go.jp/cstp/stmain/2019808smartcity.html</x:v>
      </x:c>
      <x:c r="E338" s="7" t="str">
        <x:v>2019-08-08</x:v>
      </x:c>
      <x:c r="F338" s="7" t="str">
        <x:v>内閣府・総務省・経産省・国交省共同事務局、473団体、関連施策一覧</x:v>
      </x:c>
      <x:c r="G338" s="18" t="n">
        <x:v>46326</x:v>
      </x:c>
    </x:row>
    <x:row r="339" ht="30" customHeight="1">
      <x:c r="A339" s="7" t="str">
        <x:v>S332</x:v>
      </x:c>
      <x:c r="B339" s="7" t="str">
        <x:v>SRC-fa7a544041</x:v>
      </x:c>
      <x:c r="C339" s="7" t="str">
        <x:v>SIPアーキテクチャ構築及び実証研究の成果公表</x:v>
      </x:c>
      <x:c r="D339" s="7" t="str">
        <x:v>https://www8.cao.go.jp/cstp/stmain/20200318siparchitecture.html</x:v>
      </x:c>
      <x:c r="E339" s="7" t="str">
        <x:v>2020-03-18</x:v>
      </x:c>
      <x:c r="F339" s="7" t="str">
        <x:v>リファレンスアーキテクチャ・ガイドブック第1版</x:v>
      </x:c>
      <x:c r="G339" s="18" t="n">
        <x:v>46326</x:v>
      </x:c>
    </x:row>
    <x:row r="340" ht="30" customHeight="1">
      <x:c r="A340" s="7" t="str">
        <x:v>S333</x:v>
      </x:c>
      <x:c r="B340" s="7" t="str">
        <x:v>SRC-9d6b6f68ea</x:v>
      </x:c>
      <x:c r="C340" s="7" t="str">
        <x:v>地方部における自動運転サービス、福岡県みやま市で本格導入へ</x:v>
      </x:c>
      <x:c r="D340" s="7" t="str">
        <x:v>https://www8.cao.go.jp/cstp/stmain/20210712sipadus.html</x:v>
      </x:c>
      <x:c r="E340" s="7" t="str">
        <x:v>2021-07-12</x:v>
      </x:c>
      <x:c r="F340" s="7" t="str">
        <x:v>2021-07-19開始／みやま市主体／7.2km／乗客4名</x:v>
      </x:c>
      <x:c r="G340" s="18" t="n">
        <x:v>46326</x:v>
      </x:c>
    </x:row>
    <x:row r="341" ht="30" customHeight="1">
      <x:c r="A341" s="7" t="str">
        <x:v>S334</x:v>
      </x:c>
      <x:c r="B341" s="7" t="str">
        <x:v>SRC-13f574ea28</x:v>
      </x:c>
      <x:c r="C341" s="7" t="str">
        <x:v>スマートシティリファレンスアーキテクチャ・ガイドブック改訂</x:v>
      </x:c>
      <x:c r="D341" s="7" t="str">
        <x:v>https://www8.cao.go.jp/cstp/stmain/20230810smartcity.html</x:v>
      </x:c>
      <x:c r="E341" s="7" t="str">
        <x:v>2023-08-10</x:v>
      </x:c>
      <x:c r="F341" s="7" t="str">
        <x:v>第2版公開、SIP2サイバー空間基盤の調査結果を反映</x:v>
      </x:c>
      <x:c r="G341" s="18" t="n">
        <x:v>46326</x:v>
      </x:c>
    </x:row>
    <x:row r="342" ht="30" customHeight="1">
      <x:c r="A342" s="7" t="str">
        <x:v>S335</x:v>
      </x:c>
      <x:c r="B342" s="7" t="str">
        <x:v>SRC-a57cb5713e</x:v>
      </x:c>
      <x:c r="C342" s="7" t="str">
        <x:v>平成30年交通安全白書：官民を挙げた先端技術</x:v>
      </x:c>
      <x:c r="D342" s="7" t="str">
        <x:v>https://www8.cao.go.jp/koutu/taisaku/h30kou_haku/zenbun/genkyo/feature/feature_02.html</x:v>
      </x:c>
      <x:c r="E342" s="7" t="str">
        <x:v>2018</x:v>
      </x:c>
      <x:c r="F342" s="7" t="str">
        <x:v>SIP：2017年10月大規模実証開始、20超機関</x:v>
      </x:c>
      <x:c r="G342" s="18" t="n">
        <x:v>46326</x:v>
      </x:c>
    </x:row>
    <x:row r="343" ht="30" customHeight="1">
      <x:c r="A343" s="7" t="str">
        <x:v>S336</x:v>
      </x:c>
      <x:c r="B343" s="7" t="str">
        <x:v>SRC-a5212126a0</x:v>
      </x:c>
      <x:c r="C343" s="7" t="str">
        <x:v>福井市地域公共交通計画 事業評価</x:v>
      </x:c>
      <x:c r="D343" s="7" t="str">
        <x:v>https://wwwtb.mlit.go.jp/chubu/tsukuro/hyoka/pdf/jiko/R6/02_fukuishi.pdf</x:v>
      </x:c>
      <x:c r="E343" s="7" t="str">
        <x:v>2025-01</x:v>
      </x:c>
      <x:c r="F343" s="7" t="str">
        <x:v>はぴチケ販売：2023年度末125枚、2024年度10月まで1147枚</x:v>
      </x:c>
      <x:c r="G343" s="18" t="n">
        <x:v>46326</x:v>
      </x:c>
    </x:row>
    <x:row r="344" ht="30" customHeight="1">
      <x:c r="A344" s="7" t="str">
        <x:v>S337</x:v>
      </x:c>
      <x:c r="B344" s="7" t="str">
        <x:v>SRC-478732da21</x:v>
      </x:c>
      <x:c r="C344" s="7" t="str">
        <x:v>令和7年度地域公共交通確保維持改善事業評価・津山市</x:v>
      </x:c>
      <x:c r="D344" s="7" t="str">
        <x:v>https://wwwtb.mlit.go.jp/chugoku/content/000370186.pdf</x:v>
      </x:c>
      <x:c r="E344" s="7" t="str">
        <x:v>2025年度評価</x:v>
      </x:c>
      <x:c r="F344" s="7" t="str">
        <x:v>PDF p1–3、p20：AIデマンド利用4541人、経常収支率2.1%、市支出3206万円</x:v>
      </x:c>
      <x:c r="G344" s="18" t="n">
        <x:v>46326</x:v>
      </x:c>
    </x:row>
    <x:row r="345" ht="30" customHeight="1">
      <x:c r="A345" s="7" t="str">
        <x:v>S338</x:v>
      </x:c>
      <x:c r="B345" s="7" t="str">
        <x:v>SRC-e178e960c2</x:v>
      </x:c>
      <x:c r="C345" s="7" t="str">
        <x:v>地域交通の事例 三豊市</x:v>
      </x:c>
      <x:c r="D345" s="7" t="str">
        <x:v>https://wwwtb.mlit.go.jp/chugoku/content/000370683.pdf</x:v>
      </x:c>
      <x:c r="E345" s="7" t="str"/>
      <x:c r="F345" s="7" t="str">
        <x:v>p.131、FY2020実証車両約20%削減、収支非公開</x:v>
      </x:c>
      <x:c r="G345" s="18" t="n">
        <x:v>46326</x:v>
      </x:c>
    </x:row>
    <x:row r="346" ht="30" customHeight="1">
      <x:c r="A346" s="7" t="str">
        <x:v>S339</x:v>
      </x:c>
      <x:c r="B346" s="7" t="str">
        <x:v>SRC-ade126a9f0</x:v>
      </x:c>
      <x:c r="C346" s="7" t="str">
        <x:v>介護予防 日常生活支援総合事業と移動支援</x:v>
      </x:c>
      <x:c r="D346" s="7" t="str">
        <x:v>https://wwwtb.mlit.go.jp/kanto/content/000378309.pdf</x:v>
      </x:c>
      <x:c r="E346" s="7" t="str">
        <x:v>2026-06-29</x:v>
      </x:c>
      <x:c r="F346" s="7" t="str">
        <x:v>PDF p14–15制度整理、p20地域事例</x:v>
      </x:c>
      <x:c r="G346" s="18" t="n">
        <x:v>46326</x:v>
      </x:c>
    </x:row>
    <x:row r="347" ht="30" customHeight="1">
      <x:c r="A347" s="7" t="str">
        <x:v>S340</x:v>
      </x:c>
      <x:c r="B347" s="7" t="str">
        <x:v>SRC-dd63f6b973</x:v>
      </x:c>
      <x:c r="C347" s="7" t="str">
        <x:v>交通 医療 介護の連携</x:v>
      </x:c>
      <x:c r="D347" s="7" t="str">
        <x:v>https://wwwtb.mlit.go.jp/kanto/koutuu_seisaku/iryo_kaigo.html</x:v>
      </x:c>
      <x:c r="E347" s="7" t="str">
        <x:v>2026-04-28</x:v>
      </x:c>
      <x:c r="F347" s="7" t="str">
        <x:v>連携協定と6月29日合同研修</x:v>
      </x:c>
      <x:c r="G347" s="18" t="n">
        <x:v>46326</x:v>
      </x:c>
    </x:row>
    <x:row r="348" ht="30" customHeight="1">
      <x:c r="A348" s="7" t="str">
        <x:v>S341</x:v>
      </x:c>
      <x:c r="B348" s="7" t="str">
        <x:v>SRC-96a544d338</x:v>
      </x:c>
      <x:c r="C348" s="7" t="str">
        <x:v>九州運輸局 バス共同経営の効果検証調査</x:v>
      </x:c>
      <x:c r="D348" s="7" t="str">
        <x:v>https://wwwtb.mlit.go.jp/kyushu/content/000324419.pdf</x:v>
      </x:c>
      <x:c r="E348" s="7" t="str">
        <x:v>2024-03</x:v>
      </x:c>
      <x:c r="F348" s="7" t="str">
        <x:v>資料p30–33（PDFページは表紙等でずれる）：共同経営なしモデルとの比較</x:v>
      </x:c>
      <x:c r="G348" s="18" t="n">
        <x:v>46326</x:v>
      </x:c>
    </x:row>
  </x:sheetData>
  <x:pageMargins left="0.7" right="0.7" top="0.75" bottom="0.75" header="0.3" footer="0.3"/>
  <x:tableParts count="1">
    <x:tablePart xmlns:r="http://schemas.openxmlformats.org/officeDocument/2006/relationships" r:id="Rf2e3642f62324b47"/>
  </x:tableParts>
</x:worksheet>
</file>